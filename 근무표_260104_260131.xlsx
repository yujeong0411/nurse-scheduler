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Z:\원티드근무 신청폴더\"/>
    </mc:Choice>
  </mc:AlternateContent>
  <bookViews>
    <workbookView xWindow="28680" yWindow="-120" windowWidth="29040" windowHeight="15840"/>
  </bookViews>
  <sheets>
    <sheet name="변경(260104_260131)" sheetId="1" r:id="rId1"/>
    <sheet name="원번표(수정불가)" sheetId="3" r:id="rId2"/>
    <sheet name="비교(변경불가)" sheetId="4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C8" i="3" l="1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47" i="3"/>
  <c r="BC48" i="3"/>
  <c r="BC7" i="3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C6" i="4" l="1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J3" i="4"/>
  <c r="C5" i="4"/>
  <c r="C28" i="4"/>
  <c r="D28" i="4"/>
  <c r="E28" i="4"/>
  <c r="F28" i="4"/>
  <c r="G28" i="4"/>
  <c r="H28" i="4"/>
  <c r="I28" i="4"/>
  <c r="J28" i="4"/>
  <c r="K28" i="4"/>
  <c r="L28" i="4"/>
  <c r="M28" i="4"/>
  <c r="N28" i="4"/>
  <c r="BE28" i="4" s="1"/>
  <c r="O28" i="4"/>
  <c r="P28" i="4"/>
  <c r="Q28" i="4"/>
  <c r="R28" i="4"/>
  <c r="S28" i="4"/>
  <c r="T28" i="4"/>
  <c r="U28" i="4"/>
  <c r="V28" i="4"/>
  <c r="W28" i="4"/>
  <c r="X28" i="4"/>
  <c r="Y28" i="4"/>
  <c r="Z28" i="4"/>
  <c r="AQ28" i="4" s="1"/>
  <c r="AA28" i="4"/>
  <c r="AB28" i="4"/>
  <c r="AC28" i="4"/>
  <c r="AD28" i="4"/>
  <c r="AK28" i="4"/>
  <c r="AL28" i="4"/>
  <c r="AO28" i="4"/>
  <c r="AP28" i="4"/>
  <c r="BC28" i="4"/>
  <c r="AE28" i="3"/>
  <c r="AF28" i="3"/>
  <c r="AT28" i="3"/>
  <c r="AU28" i="3"/>
  <c r="AV28" i="3"/>
  <c r="BG28" i="3" s="1"/>
  <c r="AW28" i="3"/>
  <c r="AX28" i="3"/>
  <c r="BE28" i="3" s="1"/>
  <c r="AY28" i="3"/>
  <c r="AZ28" i="3"/>
  <c r="BA28" i="3"/>
  <c r="BB28" i="3"/>
  <c r="BD28" i="3"/>
  <c r="BF28" i="3"/>
  <c r="AK28" i="3"/>
  <c r="AL28" i="3"/>
  <c r="AM28" i="3"/>
  <c r="AN28" i="3"/>
  <c r="AO28" i="3"/>
  <c r="AP28" i="3"/>
  <c r="AQ28" i="3"/>
  <c r="AR28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C5" i="3"/>
  <c r="J3" i="3"/>
  <c r="AF28" i="1"/>
  <c r="AK28" i="1"/>
  <c r="AL28" i="1"/>
  <c r="AM28" i="1"/>
  <c r="AN28" i="1"/>
  <c r="AO28" i="1"/>
  <c r="AP28" i="1"/>
  <c r="AQ28" i="1"/>
  <c r="AR28" i="1"/>
  <c r="AT28" i="1"/>
  <c r="AU28" i="1"/>
  <c r="AV28" i="1"/>
  <c r="AE28" i="1" s="1"/>
  <c r="AW28" i="1"/>
  <c r="AX28" i="1"/>
  <c r="AY28" i="1"/>
  <c r="AZ28" i="1"/>
  <c r="BA28" i="1"/>
  <c r="BB28" i="1"/>
  <c r="BD28" i="1"/>
  <c r="BF28" i="1"/>
  <c r="BE28" i="1" l="1"/>
  <c r="BB28" i="4"/>
  <c r="BA28" i="4"/>
  <c r="AN28" i="4"/>
  <c r="AZ28" i="4"/>
  <c r="AM28" i="4"/>
  <c r="AY28" i="4"/>
  <c r="AX28" i="4"/>
  <c r="BD28" i="4" s="1"/>
  <c r="AW28" i="4"/>
  <c r="AF28" i="4"/>
  <c r="AV28" i="4"/>
  <c r="AU28" i="4"/>
  <c r="AT28" i="4"/>
  <c r="AR28" i="4"/>
  <c r="BG28" i="1"/>
  <c r="BB8" i="3"/>
  <c r="BB9" i="3"/>
  <c r="BB10" i="3"/>
  <c r="BB11" i="3"/>
  <c r="BB12" i="3"/>
  <c r="BB13" i="3"/>
  <c r="BB14" i="3"/>
  <c r="BB15" i="3"/>
  <c r="BB16" i="3"/>
  <c r="BB17" i="3"/>
  <c r="BB18" i="3"/>
  <c r="BB19" i="3"/>
  <c r="BB20" i="3"/>
  <c r="BB21" i="3"/>
  <c r="BB22" i="3"/>
  <c r="BB23" i="3"/>
  <c r="BB24" i="3"/>
  <c r="BB25" i="3"/>
  <c r="BB26" i="3"/>
  <c r="BB27" i="3"/>
  <c r="BB29" i="3"/>
  <c r="BB30" i="3"/>
  <c r="BB31" i="3"/>
  <c r="BB32" i="3"/>
  <c r="BB33" i="3"/>
  <c r="BB34" i="3"/>
  <c r="BB35" i="3"/>
  <c r="BB36" i="3"/>
  <c r="BB37" i="3"/>
  <c r="BB38" i="3"/>
  <c r="BB39" i="3"/>
  <c r="BB40" i="3"/>
  <c r="BB41" i="3"/>
  <c r="BB42" i="3"/>
  <c r="BB43" i="3"/>
  <c r="BB44" i="3"/>
  <c r="BB45" i="3"/>
  <c r="BB46" i="3"/>
  <c r="BB47" i="3"/>
  <c r="BB48" i="3"/>
  <c r="BB7" i="3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7" i="1"/>
  <c r="AV48" i="1"/>
  <c r="AU48" i="1"/>
  <c r="AT48" i="1"/>
  <c r="AE28" i="4" l="1"/>
  <c r="BF28" i="4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C50" i="1"/>
  <c r="BF30" i="3" l="1"/>
  <c r="BD30" i="3"/>
  <c r="BA30" i="3"/>
  <c r="AZ30" i="3"/>
  <c r="AY30" i="3"/>
  <c r="AX30" i="3"/>
  <c r="AW30" i="3"/>
  <c r="AV30" i="3"/>
  <c r="AU30" i="3"/>
  <c r="AT30" i="3"/>
  <c r="AR30" i="3"/>
  <c r="AQ30" i="3"/>
  <c r="AP30" i="3"/>
  <c r="AO30" i="3"/>
  <c r="AN30" i="3"/>
  <c r="AM30" i="3"/>
  <c r="AL30" i="3"/>
  <c r="AK30" i="3"/>
  <c r="AF30" i="3"/>
  <c r="BF30" i="1"/>
  <c r="BD30" i="1"/>
  <c r="BA30" i="1"/>
  <c r="AZ30" i="1"/>
  <c r="AY30" i="1"/>
  <c r="AX30" i="1"/>
  <c r="AW30" i="1"/>
  <c r="AV30" i="1"/>
  <c r="AU30" i="1"/>
  <c r="AT30" i="1"/>
  <c r="AR30" i="1"/>
  <c r="AQ30" i="1"/>
  <c r="AP30" i="1"/>
  <c r="AO30" i="1"/>
  <c r="AN30" i="1"/>
  <c r="AM30" i="1"/>
  <c r="AL30" i="1"/>
  <c r="AK30" i="1"/>
  <c r="AF30" i="1"/>
  <c r="BE30" i="3" l="1"/>
  <c r="BG30" i="3"/>
  <c r="BE30" i="1"/>
  <c r="BG30" i="1"/>
  <c r="AE30" i="3"/>
  <c r="AE30" i="1"/>
  <c r="AZ48" i="1" l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29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BF17" i="3" l="1"/>
  <c r="BD17" i="3"/>
  <c r="BA17" i="3"/>
  <c r="AZ17" i="3"/>
  <c r="AY17" i="3"/>
  <c r="AX17" i="3"/>
  <c r="AW17" i="3"/>
  <c r="AV17" i="3"/>
  <c r="AU17" i="3"/>
  <c r="AT17" i="3"/>
  <c r="AR17" i="3"/>
  <c r="AQ17" i="3"/>
  <c r="AP17" i="3"/>
  <c r="AO17" i="3"/>
  <c r="AN17" i="3"/>
  <c r="AM17" i="3"/>
  <c r="AL17" i="3"/>
  <c r="AK17" i="3"/>
  <c r="AF17" i="3"/>
  <c r="BE17" i="3" l="1"/>
  <c r="BG17" i="3"/>
  <c r="AE17" i="3"/>
  <c r="BF17" i="1"/>
  <c r="BD17" i="1"/>
  <c r="BA17" i="1"/>
  <c r="AY17" i="1"/>
  <c r="AX17" i="1"/>
  <c r="AW17" i="1"/>
  <c r="AV17" i="1"/>
  <c r="AU17" i="1"/>
  <c r="AT17" i="1"/>
  <c r="AR17" i="1"/>
  <c r="AQ17" i="1"/>
  <c r="AP17" i="1"/>
  <c r="AO17" i="1"/>
  <c r="AN17" i="1"/>
  <c r="AM17" i="1"/>
  <c r="AL17" i="1"/>
  <c r="AK17" i="1"/>
  <c r="AF17" i="1"/>
  <c r="BE17" i="1" l="1"/>
  <c r="AE17" i="1"/>
  <c r="BG17" i="1"/>
  <c r="BS10" i="4" l="1"/>
  <c r="BS9" i="4"/>
  <c r="F7" i="4" l="1"/>
  <c r="R7" i="4"/>
  <c r="AD7" i="4"/>
  <c r="N8" i="4"/>
  <c r="Z8" i="4"/>
  <c r="J9" i="4"/>
  <c r="V9" i="4"/>
  <c r="F10" i="4"/>
  <c r="R10" i="4"/>
  <c r="AD10" i="4"/>
  <c r="N11" i="4"/>
  <c r="Z11" i="4"/>
  <c r="J12" i="4"/>
  <c r="V12" i="4"/>
  <c r="F13" i="4"/>
  <c r="R13" i="4"/>
  <c r="AD13" i="4"/>
  <c r="N14" i="4"/>
  <c r="Z14" i="4"/>
  <c r="J15" i="4"/>
  <c r="V15" i="4"/>
  <c r="F16" i="4"/>
  <c r="R16" i="4"/>
  <c r="AD16" i="4"/>
  <c r="N17" i="4"/>
  <c r="Z17" i="4"/>
  <c r="J18" i="4"/>
  <c r="V18" i="4"/>
  <c r="F19" i="4"/>
  <c r="R19" i="4"/>
  <c r="AD19" i="4"/>
  <c r="N20" i="4"/>
  <c r="Z20" i="4"/>
  <c r="J21" i="4"/>
  <c r="V21" i="4"/>
  <c r="F22" i="4"/>
  <c r="R22" i="4"/>
  <c r="AD22" i="4"/>
  <c r="N23" i="4"/>
  <c r="Z23" i="4"/>
  <c r="J24" i="4"/>
  <c r="V24" i="4"/>
  <c r="F25" i="4"/>
  <c r="R25" i="4"/>
  <c r="AD25" i="4"/>
  <c r="N26" i="4"/>
  <c r="Z26" i="4"/>
  <c r="J27" i="4"/>
  <c r="V27" i="4"/>
  <c r="F29" i="4"/>
  <c r="R29" i="4"/>
  <c r="AD29" i="4"/>
  <c r="N30" i="4"/>
  <c r="Z30" i="4"/>
  <c r="J31" i="4"/>
  <c r="V31" i="4"/>
  <c r="F32" i="4"/>
  <c r="R32" i="4"/>
  <c r="AD32" i="4"/>
  <c r="N33" i="4"/>
  <c r="Z33" i="4"/>
  <c r="J34" i="4"/>
  <c r="V34" i="4"/>
  <c r="F35" i="4"/>
  <c r="R35" i="4"/>
  <c r="AD35" i="4"/>
  <c r="N36" i="4"/>
  <c r="Z36" i="4"/>
  <c r="J37" i="4"/>
  <c r="V37" i="4"/>
  <c r="F38" i="4"/>
  <c r="R38" i="4"/>
  <c r="C39" i="4"/>
  <c r="O39" i="4"/>
  <c r="AA39" i="4"/>
  <c r="K40" i="4"/>
  <c r="W40" i="4"/>
  <c r="G41" i="4"/>
  <c r="S41" i="4"/>
  <c r="C42" i="4"/>
  <c r="O42" i="4"/>
  <c r="AA42" i="4"/>
  <c r="K43" i="4"/>
  <c r="W43" i="4"/>
  <c r="G44" i="4"/>
  <c r="L7" i="4"/>
  <c r="Y7" i="4"/>
  <c r="J8" i="4"/>
  <c r="W8" i="4"/>
  <c r="H9" i="4"/>
  <c r="U9" i="4"/>
  <c r="G10" i="4"/>
  <c r="T10" i="4"/>
  <c r="E11" i="4"/>
  <c r="R11" i="4"/>
  <c r="C12" i="4"/>
  <c r="P12" i="4"/>
  <c r="AC12" i="4"/>
  <c r="N13" i="4"/>
  <c r="AA13" i="4"/>
  <c r="L14" i="4"/>
  <c r="Y14" i="4"/>
  <c r="K15" i="4"/>
  <c r="X15" i="4"/>
  <c r="I16" i="4"/>
  <c r="V16" i="4"/>
  <c r="G17" i="4"/>
  <c r="T17" i="4"/>
  <c r="E18" i="4"/>
  <c r="R18" i="4"/>
  <c r="C19" i="4"/>
  <c r="P19" i="4"/>
  <c r="AC19" i="4"/>
  <c r="O20" i="4"/>
  <c r="AB20" i="4"/>
  <c r="M21" i="4"/>
  <c r="Z21" i="4"/>
  <c r="K22" i="4"/>
  <c r="X22" i="4"/>
  <c r="I23" i="4"/>
  <c r="V23" i="4"/>
  <c r="G24" i="4"/>
  <c r="T24" i="4"/>
  <c r="E25" i="4"/>
  <c r="S25" i="4"/>
  <c r="D26" i="4"/>
  <c r="Q26" i="4"/>
  <c r="AD26" i="4"/>
  <c r="O27" i="4"/>
  <c r="AB27" i="4"/>
  <c r="M29" i="4"/>
  <c r="Z29" i="4"/>
  <c r="K30" i="4"/>
  <c r="X30" i="4"/>
  <c r="I31" i="4"/>
  <c r="W31" i="4"/>
  <c r="H32" i="4"/>
  <c r="U32" i="4"/>
  <c r="F33" i="4"/>
  <c r="S33" i="4"/>
  <c r="D34" i="4"/>
  <c r="Q34" i="4"/>
  <c r="AD34" i="4"/>
  <c r="O35" i="4"/>
  <c r="AB35" i="4"/>
  <c r="M36" i="4"/>
  <c r="AA36" i="4"/>
  <c r="L37" i="4"/>
  <c r="Y37" i="4"/>
  <c r="J38" i="4"/>
  <c r="W38" i="4"/>
  <c r="I39" i="4"/>
  <c r="V39" i="4"/>
  <c r="G40" i="4"/>
  <c r="T40" i="4"/>
  <c r="E41" i="4"/>
  <c r="R41" i="4"/>
  <c r="D42" i="4"/>
  <c r="Q42" i="4"/>
  <c r="AD42" i="4"/>
  <c r="O43" i="4"/>
  <c r="AB43" i="4"/>
  <c r="M44" i="4"/>
  <c r="Y44" i="4"/>
  <c r="I45" i="4"/>
  <c r="U45" i="4"/>
  <c r="G7" i="4"/>
  <c r="T7" i="4"/>
  <c r="E8" i="4"/>
  <c r="R8" i="4"/>
  <c r="C9" i="4"/>
  <c r="P9" i="4"/>
  <c r="AC9" i="4"/>
  <c r="N10" i="4"/>
  <c r="AA10" i="4"/>
  <c r="L11" i="4"/>
  <c r="Y11" i="4"/>
  <c r="K12" i="4"/>
  <c r="X12" i="4"/>
  <c r="I13" i="4"/>
  <c r="V13" i="4"/>
  <c r="G14" i="4"/>
  <c r="T14" i="4"/>
  <c r="E15" i="4"/>
  <c r="R15" i="4"/>
  <c r="C16" i="4"/>
  <c r="P16" i="4"/>
  <c r="AC16" i="4"/>
  <c r="O17" i="4"/>
  <c r="AB17" i="4"/>
  <c r="M18" i="4"/>
  <c r="Z18" i="4"/>
  <c r="K19" i="4"/>
  <c r="X19" i="4"/>
  <c r="I20" i="4"/>
  <c r="V20" i="4"/>
  <c r="G21" i="4"/>
  <c r="T21" i="4"/>
  <c r="E22" i="4"/>
  <c r="S22" i="4"/>
  <c r="D23" i="4"/>
  <c r="Q23" i="4"/>
  <c r="AD23" i="4"/>
  <c r="O24" i="4"/>
  <c r="AB24" i="4"/>
  <c r="M25" i="4"/>
  <c r="Z25" i="4"/>
  <c r="K26" i="4"/>
  <c r="X26" i="4"/>
  <c r="I27" i="4"/>
  <c r="W27" i="4"/>
  <c r="H29" i="4"/>
  <c r="U29" i="4"/>
  <c r="F30" i="4"/>
  <c r="S30" i="4"/>
  <c r="D31" i="4"/>
  <c r="Q31" i="4"/>
  <c r="AD31" i="4"/>
  <c r="O32" i="4"/>
  <c r="AB32" i="4"/>
  <c r="M33" i="4"/>
  <c r="AA33" i="4"/>
  <c r="L34" i="4"/>
  <c r="Y34" i="4"/>
  <c r="J35" i="4"/>
  <c r="W35" i="4"/>
  <c r="H36" i="4"/>
  <c r="U36" i="4"/>
  <c r="F37" i="4"/>
  <c r="S37" i="4"/>
  <c r="D38" i="4"/>
  <c r="Q38" i="4"/>
  <c r="D39" i="4"/>
  <c r="Q39" i="4"/>
  <c r="AD39" i="4"/>
  <c r="O40" i="4"/>
  <c r="AB40" i="4"/>
  <c r="M41" i="4"/>
  <c r="Z41" i="4"/>
  <c r="K42" i="4"/>
  <c r="X42" i="4"/>
  <c r="I43" i="4"/>
  <c r="V43" i="4"/>
  <c r="H44" i="4"/>
  <c r="T44" i="4"/>
  <c r="D45" i="4"/>
  <c r="P45" i="4"/>
  <c r="AB45" i="4"/>
  <c r="N7" i="4"/>
  <c r="AC7" i="4"/>
  <c r="Q8" i="4"/>
  <c r="E9" i="4"/>
  <c r="T9" i="4"/>
  <c r="I10" i="4"/>
  <c r="X10" i="4"/>
  <c r="K11" i="4"/>
  <c r="AB11" i="4"/>
  <c r="O12" i="4"/>
  <c r="C13" i="4"/>
  <c r="S13" i="4"/>
  <c r="F14" i="4"/>
  <c r="V14" i="4"/>
  <c r="I15" i="4"/>
  <c r="Z15" i="4"/>
  <c r="M16" i="4"/>
  <c r="AB16" i="4"/>
  <c r="Q17" i="4"/>
  <c r="D18" i="4"/>
  <c r="T18" i="4"/>
  <c r="H19" i="4"/>
  <c r="W19" i="4"/>
  <c r="K20" i="4"/>
  <c r="AA20" i="4"/>
  <c r="O21" i="4"/>
  <c r="AD21" i="4"/>
  <c r="Q22" i="4"/>
  <c r="F23" i="4"/>
  <c r="U23" i="4"/>
  <c r="I24" i="4"/>
  <c r="Y24" i="4"/>
  <c r="L25" i="4"/>
  <c r="AB25" i="4"/>
  <c r="P26" i="4"/>
  <c r="D27" i="4"/>
  <c r="S27" i="4"/>
  <c r="G29" i="4"/>
  <c r="W29" i="4"/>
  <c r="J30" i="4"/>
  <c r="AA30" i="4"/>
  <c r="N31" i="4"/>
  <c r="AC31" i="4"/>
  <c r="Q32" i="4"/>
  <c r="E33" i="4"/>
  <c r="U33" i="4"/>
  <c r="H34" i="4"/>
  <c r="X34" i="4"/>
  <c r="L35" i="4"/>
  <c r="AA35" i="4"/>
  <c r="P36" i="4"/>
  <c r="C37" i="4"/>
  <c r="R37" i="4"/>
  <c r="G38" i="4"/>
  <c r="V38" i="4"/>
  <c r="K39" i="4"/>
  <c r="Z39" i="4"/>
  <c r="N40" i="4"/>
  <c r="AD40" i="4"/>
  <c r="Q41" i="4"/>
  <c r="F42" i="4"/>
  <c r="U42" i="4"/>
  <c r="H43" i="4"/>
  <c r="Y43" i="4"/>
  <c r="L44" i="4"/>
  <c r="AA44" i="4"/>
  <c r="M45" i="4"/>
  <c r="AA45" i="4"/>
  <c r="K46" i="4"/>
  <c r="W46" i="4"/>
  <c r="G47" i="4"/>
  <c r="S47" i="4"/>
  <c r="C48" i="4"/>
  <c r="O48" i="4"/>
  <c r="AA48" i="4"/>
  <c r="S8" i="4"/>
  <c r="J10" i="4"/>
  <c r="M11" i="4"/>
  <c r="Q12" i="4"/>
  <c r="T13" i="4"/>
  <c r="W14" i="4"/>
  <c r="AA15" i="4"/>
  <c r="C17" i="4"/>
  <c r="F18" i="4"/>
  <c r="U18" i="4"/>
  <c r="Y19" i="4"/>
  <c r="AC20" i="4"/>
  <c r="C22" i="4"/>
  <c r="G23" i="4"/>
  <c r="W23" i="4"/>
  <c r="Z24" i="4"/>
  <c r="AC25" i="4"/>
  <c r="E27" i="4"/>
  <c r="I29" i="4"/>
  <c r="X29" i="4"/>
  <c r="AB30" i="4"/>
  <c r="C32" i="4"/>
  <c r="G33" i="4"/>
  <c r="I34" i="4"/>
  <c r="M35" i="4"/>
  <c r="Q36" i="4"/>
  <c r="T37" i="4"/>
  <c r="X38" i="4"/>
  <c r="AB39" i="4"/>
  <c r="C41" i="4"/>
  <c r="G42" i="4"/>
  <c r="J43" i="4"/>
  <c r="N44" i="4"/>
  <c r="N45" i="4"/>
  <c r="L46" i="4"/>
  <c r="T47" i="4"/>
  <c r="AB48" i="4"/>
  <c r="O7" i="4"/>
  <c r="C8" i="4"/>
  <c r="F9" i="4"/>
  <c r="W9" i="4"/>
  <c r="Y10" i="4"/>
  <c r="AC11" i="4"/>
  <c r="D13" i="4"/>
  <c r="H14" i="4"/>
  <c r="L15" i="4"/>
  <c r="N16" i="4"/>
  <c r="R17" i="4"/>
  <c r="I19" i="4"/>
  <c r="L20" i="4"/>
  <c r="P21" i="4"/>
  <c r="T22" i="4"/>
  <c r="K24" i="4"/>
  <c r="N25" i="4"/>
  <c r="R26" i="4"/>
  <c r="T27" i="4"/>
  <c r="L30" i="4"/>
  <c r="O31" i="4"/>
  <c r="S32" i="4"/>
  <c r="V33" i="4"/>
  <c r="Z34" i="4"/>
  <c r="AC35" i="4"/>
  <c r="D37" i="4"/>
  <c r="H38" i="4"/>
  <c r="L39" i="4"/>
  <c r="P40" i="4"/>
  <c r="T41" i="4"/>
  <c r="V42" i="4"/>
  <c r="Z43" i="4"/>
  <c r="AB44" i="4"/>
  <c r="AC45" i="4"/>
  <c r="X46" i="4"/>
  <c r="H47" i="4"/>
  <c r="D48" i="4"/>
  <c r="P48" i="4"/>
  <c r="P7" i="4"/>
  <c r="D8" i="4"/>
  <c r="T8" i="4"/>
  <c r="G9" i="4"/>
  <c r="X9" i="4"/>
  <c r="K10" i="4"/>
  <c r="Z10" i="4"/>
  <c r="O11" i="4"/>
  <c r="AD11" i="4"/>
  <c r="R12" i="4"/>
  <c r="E13" i="4"/>
  <c r="U13" i="4"/>
  <c r="I14" i="4"/>
  <c r="X14" i="4"/>
  <c r="M15" i="4"/>
  <c r="AB15" i="4"/>
  <c r="O16" i="4"/>
  <c r="D17" i="4"/>
  <c r="S17" i="4"/>
  <c r="G18" i="4"/>
  <c r="W18" i="4"/>
  <c r="J19" i="4"/>
  <c r="Z19" i="4"/>
  <c r="M20" i="4"/>
  <c r="AD20" i="4"/>
  <c r="Q21" i="4"/>
  <c r="D22" i="4"/>
  <c r="U22" i="4"/>
  <c r="H23" i="4"/>
  <c r="X23" i="4"/>
  <c r="L24" i="4"/>
  <c r="AA24" i="4"/>
  <c r="O25" i="4"/>
  <c r="C26" i="4"/>
  <c r="S26" i="4"/>
  <c r="F27" i="4"/>
  <c r="U27" i="4"/>
  <c r="J29" i="4"/>
  <c r="Y29" i="4"/>
  <c r="M30" i="4"/>
  <c r="AC30" i="4"/>
  <c r="P31" i="4"/>
  <c r="D32" i="4"/>
  <c r="T32" i="4"/>
  <c r="H33" i="4"/>
  <c r="W33" i="4"/>
  <c r="K34" i="4"/>
  <c r="AA34" i="4"/>
  <c r="N35" i="4"/>
  <c r="C36" i="4"/>
  <c r="R36" i="4"/>
  <c r="E37" i="4"/>
  <c r="U37" i="4"/>
  <c r="I38" i="4"/>
  <c r="Z38" i="4"/>
  <c r="M39" i="4"/>
  <c r="AC39" i="4"/>
  <c r="Q40" i="4"/>
  <c r="D41" i="4"/>
  <c r="U41" i="4"/>
  <c r="H42" i="4"/>
  <c r="W42" i="4"/>
  <c r="L43" i="4"/>
  <c r="AA43" i="4"/>
  <c r="O44" i="4"/>
  <c r="AC44" i="4"/>
  <c r="O45" i="4"/>
  <c r="AD45" i="4"/>
  <c r="M46" i="4"/>
  <c r="Y46" i="4"/>
  <c r="I47" i="4"/>
  <c r="U47" i="4"/>
  <c r="E48" i="4"/>
  <c r="Q48" i="4"/>
  <c r="AC48" i="4"/>
  <c r="Y38" i="4"/>
  <c r="Q7" i="4"/>
  <c r="F8" i="4"/>
  <c r="U8" i="4"/>
  <c r="Y9" i="4"/>
  <c r="L10" i="4"/>
  <c r="I9" i="4"/>
  <c r="C7" i="4"/>
  <c r="S7" i="4"/>
  <c r="G8" i="4"/>
  <c r="V8" i="4"/>
  <c r="K9" i="4"/>
  <c r="Z9" i="4"/>
  <c r="M10" i="4"/>
  <c r="AC10" i="4"/>
  <c r="Q11" i="4"/>
  <c r="E12" i="4"/>
  <c r="T12" i="4"/>
  <c r="H13" i="4"/>
  <c r="X13" i="4"/>
  <c r="K14" i="4"/>
  <c r="AB14" i="4"/>
  <c r="O15" i="4"/>
  <c r="AD15" i="4"/>
  <c r="S16" i="4"/>
  <c r="F17" i="4"/>
  <c r="V17" i="4"/>
  <c r="I18" i="4"/>
  <c r="Y18" i="4"/>
  <c r="M19" i="4"/>
  <c r="AB19" i="4"/>
  <c r="Q20" i="4"/>
  <c r="D21" i="4"/>
  <c r="S21" i="4"/>
  <c r="H22" i="4"/>
  <c r="W22" i="4"/>
  <c r="K23" i="4"/>
  <c r="AA23" i="4"/>
  <c r="N24" i="4"/>
  <c r="AD24" i="4"/>
  <c r="Q25" i="4"/>
  <c r="F26" i="4"/>
  <c r="U26" i="4"/>
  <c r="H27" i="4"/>
  <c r="Y27" i="4"/>
  <c r="L29" i="4"/>
  <c r="AB29" i="4"/>
  <c r="P30" i="4"/>
  <c r="C31" i="4"/>
  <c r="S31" i="4"/>
  <c r="G32" i="4"/>
  <c r="W32" i="4"/>
  <c r="J33" i="4"/>
  <c r="Y33" i="4"/>
  <c r="N34" i="4"/>
  <c r="AC34" i="4"/>
  <c r="Q35" i="4"/>
  <c r="E36" i="4"/>
  <c r="T36" i="4"/>
  <c r="H37" i="4"/>
  <c r="X37" i="4"/>
  <c r="L38" i="4"/>
  <c r="AB38" i="4"/>
  <c r="P39" i="4"/>
  <c r="D40" i="4"/>
  <c r="S40" i="4"/>
  <c r="H41" i="4"/>
  <c r="W41" i="4"/>
  <c r="J42" i="4"/>
  <c r="Z42" i="4"/>
  <c r="N43" i="4"/>
  <c r="AD43" i="4"/>
  <c r="Q44" i="4"/>
  <c r="C45" i="4"/>
  <c r="R45" i="4"/>
  <c r="C46" i="4"/>
  <c r="O46" i="4"/>
  <c r="AA46" i="4"/>
  <c r="K47" i="4"/>
  <c r="W47" i="4"/>
  <c r="G48" i="4"/>
  <c r="S48" i="4"/>
  <c r="Y22" i="4"/>
  <c r="D7" i="4"/>
  <c r="U7" i="4"/>
  <c r="H8" i="4"/>
  <c r="X8" i="4"/>
  <c r="L9" i="4"/>
  <c r="AA9" i="4"/>
  <c r="O10" i="4"/>
  <c r="C11" i="4"/>
  <c r="S11" i="4"/>
  <c r="F12" i="4"/>
  <c r="U12" i="4"/>
  <c r="J13" i="4"/>
  <c r="Y13" i="4"/>
  <c r="M14" i="4"/>
  <c r="AC14" i="4"/>
  <c r="P15" i="4"/>
  <c r="D16" i="4"/>
  <c r="T16" i="4"/>
  <c r="H17" i="4"/>
  <c r="W17" i="4"/>
  <c r="K18" i="4"/>
  <c r="AA18" i="4"/>
  <c r="N19" i="4"/>
  <c r="C20" i="4"/>
  <c r="R20" i="4"/>
  <c r="E21" i="4"/>
  <c r="U21" i="4"/>
  <c r="I22" i="4"/>
  <c r="L23" i="4"/>
  <c r="AB23" i="4"/>
  <c r="P24" i="4"/>
  <c r="C25" i="4"/>
  <c r="T25" i="4"/>
  <c r="G26" i="4"/>
  <c r="V26" i="4"/>
  <c r="K27" i="4"/>
  <c r="Z27" i="4"/>
  <c r="N29" i="4"/>
  <c r="H7" i="4"/>
  <c r="W7" i="4"/>
  <c r="K8" i="4"/>
  <c r="AA8" i="4"/>
  <c r="N9" i="4"/>
  <c r="AD9" i="4"/>
  <c r="Q10" i="4"/>
  <c r="F11" i="4"/>
  <c r="U11" i="4"/>
  <c r="H12" i="4"/>
  <c r="Y12" i="4"/>
  <c r="L13" i="4"/>
  <c r="AB13" i="4"/>
  <c r="P14" i="4"/>
  <c r="C15" i="4"/>
  <c r="S15" i="4"/>
  <c r="G16" i="4"/>
  <c r="W16" i="4"/>
  <c r="J17" i="4"/>
  <c r="Y17" i="4"/>
  <c r="N18" i="4"/>
  <c r="AC18" i="4"/>
  <c r="Q19" i="4"/>
  <c r="E20" i="4"/>
  <c r="T20" i="4"/>
  <c r="H21" i="4"/>
  <c r="X21" i="4"/>
  <c r="L22" i="4"/>
  <c r="AA22" i="4"/>
  <c r="O23" i="4"/>
  <c r="C24" i="4"/>
  <c r="R24" i="4"/>
  <c r="G25" i="4"/>
  <c r="V25" i="4"/>
  <c r="I26" i="4"/>
  <c r="Y26" i="4"/>
  <c r="M27" i="4"/>
  <c r="AC27" i="4"/>
  <c r="P29" i="4"/>
  <c r="D30" i="4"/>
  <c r="T30" i="4"/>
  <c r="G31" i="4"/>
  <c r="X31" i="4"/>
  <c r="K32" i="4"/>
  <c r="Z32" i="4"/>
  <c r="O33" i="4"/>
  <c r="AD33" i="4"/>
  <c r="R34" i="4"/>
  <c r="E35" i="4"/>
  <c r="U35" i="4"/>
  <c r="I36" i="4"/>
  <c r="X36" i="4"/>
  <c r="M37" i="4"/>
  <c r="AB37" i="4"/>
  <c r="O38" i="4"/>
  <c r="E39" i="4"/>
  <c r="T39" i="4"/>
  <c r="H40" i="4"/>
  <c r="X40" i="4"/>
  <c r="K41" i="4"/>
  <c r="AA41" i="4"/>
  <c r="N42" i="4"/>
  <c r="C43" i="4"/>
  <c r="R43" i="4"/>
  <c r="E44" i="4"/>
  <c r="U44" i="4"/>
  <c r="G45" i="4"/>
  <c r="V45" i="4"/>
  <c r="F46" i="4"/>
  <c r="R46" i="4"/>
  <c r="AD46" i="4"/>
  <c r="N47" i="4"/>
  <c r="Z47" i="4"/>
  <c r="J48" i="4"/>
  <c r="V48" i="4"/>
  <c r="I7" i="4"/>
  <c r="X7" i="4"/>
  <c r="L8" i="4"/>
  <c r="AB8" i="4"/>
  <c r="O9" i="4"/>
  <c r="C10" i="4"/>
  <c r="S10" i="4"/>
  <c r="G11" i="4"/>
  <c r="V11" i="4"/>
  <c r="I12" i="4"/>
  <c r="Z12" i="4"/>
  <c r="M13" i="4"/>
  <c r="AC13" i="4"/>
  <c r="Q14" i="4"/>
  <c r="D15" i="4"/>
  <c r="H16" i="4"/>
  <c r="X16" i="4"/>
  <c r="K17" i="4"/>
  <c r="AA17" i="4"/>
  <c r="O18" i="4"/>
  <c r="AD18" i="4"/>
  <c r="S19" i="4"/>
  <c r="U20" i="4"/>
  <c r="I21" i="4"/>
  <c r="Y21" i="4"/>
  <c r="AB22" i="4"/>
  <c r="P23" i="4"/>
  <c r="S24" i="4"/>
  <c r="H25" i="4"/>
  <c r="J26" i="4"/>
  <c r="N27" i="4"/>
  <c r="Q29" i="4"/>
  <c r="E30" i="4"/>
  <c r="H31" i="4"/>
  <c r="L32" i="4"/>
  <c r="P33" i="4"/>
  <c r="C34" i="4"/>
  <c r="V35" i="4"/>
  <c r="Y36" i="4"/>
  <c r="AC37" i="4"/>
  <c r="F39" i="4"/>
  <c r="I40" i="4"/>
  <c r="L41" i="4"/>
  <c r="P42" i="4"/>
  <c r="D43" i="4"/>
  <c r="F44" i="4"/>
  <c r="H45" i="4"/>
  <c r="G46" i="4"/>
  <c r="C47" i="4"/>
  <c r="AA47" i="4"/>
  <c r="W48" i="4"/>
  <c r="T15" i="4"/>
  <c r="F20" i="4"/>
  <c r="M22" i="4"/>
  <c r="D24" i="4"/>
  <c r="W25" i="4"/>
  <c r="AA26" i="4"/>
  <c r="AD27" i="4"/>
  <c r="U30" i="4"/>
  <c r="Y31" i="4"/>
  <c r="AA32" i="4"/>
  <c r="S34" i="4"/>
  <c r="G35" i="4"/>
  <c r="J36" i="4"/>
  <c r="N37" i="4"/>
  <c r="P38" i="4"/>
  <c r="U39" i="4"/>
  <c r="Y40" i="4"/>
  <c r="AB41" i="4"/>
  <c r="S43" i="4"/>
  <c r="V44" i="4"/>
  <c r="W45" i="4"/>
  <c r="S46" i="4"/>
  <c r="O47" i="4"/>
  <c r="K48" i="4"/>
  <c r="J7" i="4"/>
  <c r="Z7" i="4"/>
  <c r="M8" i="4"/>
  <c r="AC8" i="4"/>
  <c r="Q9" i="4"/>
  <c r="D10" i="4"/>
  <c r="U10" i="4"/>
  <c r="H11" i="4"/>
  <c r="W11" i="4"/>
  <c r="L12" i="4"/>
  <c r="AA12" i="4"/>
  <c r="O13" i="4"/>
  <c r="C14" i="4"/>
  <c r="R14" i="4"/>
  <c r="F15" i="4"/>
  <c r="U15" i="4"/>
  <c r="J16" i="4"/>
  <c r="Y16" i="4"/>
  <c r="L17" i="4"/>
  <c r="AC17" i="4"/>
  <c r="P18" i="4"/>
  <c r="D19" i="4"/>
  <c r="T19" i="4"/>
  <c r="G20" i="4"/>
  <c r="W20" i="4"/>
  <c r="K21" i="4"/>
  <c r="AA21" i="4"/>
  <c r="N22" i="4"/>
  <c r="AC22" i="4"/>
  <c r="R23" i="4"/>
  <c r="E24" i="4"/>
  <c r="U24" i="4"/>
  <c r="I25" i="4"/>
  <c r="X25" i="4"/>
  <c r="L26" i="4"/>
  <c r="AB26" i="4"/>
  <c r="P27" i="4"/>
  <c r="C29" i="4"/>
  <c r="S29" i="4"/>
  <c r="G30" i="4"/>
  <c r="V30" i="4"/>
  <c r="K31" i="4"/>
  <c r="Z31" i="4"/>
  <c r="M32" i="4"/>
  <c r="AC32" i="4"/>
  <c r="Q33" i="4"/>
  <c r="E34" i="4"/>
  <c r="T34" i="4"/>
  <c r="H35" i="4"/>
  <c r="X35" i="4"/>
  <c r="K36" i="4"/>
  <c r="AB36" i="4"/>
  <c r="O37" i="4"/>
  <c r="AD37" i="4"/>
  <c r="S38" i="4"/>
  <c r="G39" i="4"/>
  <c r="W39" i="4"/>
  <c r="J40" i="4"/>
  <c r="Z40" i="4"/>
  <c r="N41" i="4"/>
  <c r="AC41" i="4"/>
  <c r="R42" i="4"/>
  <c r="E43" i="4"/>
  <c r="T43" i="4"/>
  <c r="I44" i="4"/>
  <c r="W44" i="4"/>
  <c r="J45" i="4"/>
  <c r="X45" i="4"/>
  <c r="H46" i="4"/>
  <c r="T46" i="4"/>
  <c r="D47" i="4"/>
  <c r="P47" i="4"/>
  <c r="AB47" i="4"/>
  <c r="L48" i="4"/>
  <c r="X48" i="4"/>
  <c r="AA7" i="4"/>
  <c r="O8" i="4"/>
  <c r="Y8" i="4"/>
  <c r="AB10" i="4"/>
  <c r="S12" i="4"/>
  <c r="J14" i="4"/>
  <c r="AC15" i="4"/>
  <c r="U17" i="4"/>
  <c r="L19" i="4"/>
  <c r="C21" i="4"/>
  <c r="V22" i="4"/>
  <c r="M24" i="4"/>
  <c r="E26" i="4"/>
  <c r="X27" i="4"/>
  <c r="I30" i="4"/>
  <c r="T31" i="4"/>
  <c r="C33" i="4"/>
  <c r="M34" i="4"/>
  <c r="T35" i="4"/>
  <c r="AD36" i="4"/>
  <c r="M38" i="4"/>
  <c r="X39" i="4"/>
  <c r="F41" i="4"/>
  <c r="M42" i="4"/>
  <c r="X43" i="4"/>
  <c r="E45" i="4"/>
  <c r="Q46" i="4"/>
  <c r="T48" i="4"/>
  <c r="W12" i="4"/>
  <c r="O14" i="4"/>
  <c r="E16" i="4"/>
  <c r="X17" i="4"/>
  <c r="O19" i="4"/>
  <c r="F21" i="4"/>
  <c r="Z22" i="4"/>
  <c r="Q24" i="4"/>
  <c r="H26" i="4"/>
  <c r="AA27" i="4"/>
  <c r="D33" i="4"/>
  <c r="O34" i="4"/>
  <c r="Y35" i="4"/>
  <c r="Y39" i="4"/>
  <c r="I41" i="4"/>
  <c r="F45" i="4"/>
  <c r="V47" i="4"/>
  <c r="AA37" i="4"/>
  <c r="U48" i="4"/>
  <c r="D9" i="4"/>
  <c r="I11" i="4"/>
  <c r="AB12" i="4"/>
  <c r="S14" i="4"/>
  <c r="K16" i="4"/>
  <c r="AD17" i="4"/>
  <c r="U19" i="4"/>
  <c r="L21" i="4"/>
  <c r="C23" i="4"/>
  <c r="W24" i="4"/>
  <c r="M26" i="4"/>
  <c r="D29" i="4"/>
  <c r="Q30" i="4"/>
  <c r="AA31" i="4"/>
  <c r="I33" i="4"/>
  <c r="P34" i="4"/>
  <c r="Z35" i="4"/>
  <c r="I37" i="4"/>
  <c r="T38" i="4"/>
  <c r="C40" i="4"/>
  <c r="J41" i="4"/>
  <c r="T42" i="4"/>
  <c r="C44" i="4"/>
  <c r="K45" i="4"/>
  <c r="V46" i="4"/>
  <c r="X47" i="4"/>
  <c r="Y48" i="4"/>
  <c r="T11" i="4"/>
  <c r="AD14" i="4"/>
  <c r="W21" i="4"/>
  <c r="W26" i="4"/>
  <c r="AB34" i="4"/>
  <c r="L40" i="4"/>
  <c r="S45" i="4"/>
  <c r="AD47" i="4"/>
  <c r="M9" i="4"/>
  <c r="J11" i="4"/>
  <c r="AD12" i="4"/>
  <c r="U14" i="4"/>
  <c r="L16" i="4"/>
  <c r="C18" i="4"/>
  <c r="V19" i="4"/>
  <c r="N21" i="4"/>
  <c r="E23" i="4"/>
  <c r="X24" i="4"/>
  <c r="O26" i="4"/>
  <c r="E29" i="4"/>
  <c r="R30" i="4"/>
  <c r="AB31" i="4"/>
  <c r="K33" i="4"/>
  <c r="U34" i="4"/>
  <c r="D36" i="4"/>
  <c r="K37" i="4"/>
  <c r="U38" i="4"/>
  <c r="E40" i="4"/>
  <c r="O41" i="4"/>
  <c r="Y42" i="4"/>
  <c r="D44" i="4"/>
  <c r="L45" i="4"/>
  <c r="Z46" i="4"/>
  <c r="Y47" i="4"/>
  <c r="Z48" i="4"/>
  <c r="E7" i="4"/>
  <c r="D20" i="4"/>
  <c r="Y30" i="4"/>
  <c r="Q37" i="4"/>
  <c r="AC42" i="4"/>
  <c r="I46" i="4"/>
  <c r="R9" i="4"/>
  <c r="P11" i="4"/>
  <c r="G13" i="4"/>
  <c r="AA14" i="4"/>
  <c r="Q16" i="4"/>
  <c r="H18" i="4"/>
  <c r="AA19" i="4"/>
  <c r="R21" i="4"/>
  <c r="J23" i="4"/>
  <c r="AC24" i="4"/>
  <c r="T26" i="4"/>
  <c r="K29" i="4"/>
  <c r="W30" i="4"/>
  <c r="E32" i="4"/>
  <c r="L33" i="4"/>
  <c r="W34" i="4"/>
  <c r="F36" i="4"/>
  <c r="P37" i="4"/>
  <c r="AA38" i="4"/>
  <c r="F40" i="4"/>
  <c r="P41" i="4"/>
  <c r="AB42" i="4"/>
  <c r="J44" i="4"/>
  <c r="Q45" i="4"/>
  <c r="AB46" i="4"/>
  <c r="AC47" i="4"/>
  <c r="AD48" i="4"/>
  <c r="S9" i="4"/>
  <c r="U16" i="4"/>
  <c r="M23" i="4"/>
  <c r="O29" i="4"/>
  <c r="R33" i="4"/>
  <c r="G36" i="4"/>
  <c r="V41" i="4"/>
  <c r="M43" i="4"/>
  <c r="K13" i="4"/>
  <c r="L18" i="4"/>
  <c r="D25" i="4"/>
  <c r="I32" i="4"/>
  <c r="AC38" i="4"/>
  <c r="K44" i="4"/>
  <c r="AC46" i="4"/>
  <c r="Z45" i="4"/>
  <c r="J47" i="4"/>
  <c r="K7" i="4"/>
  <c r="AB9" i="4"/>
  <c r="X11" i="4"/>
  <c r="P13" i="4"/>
  <c r="G15" i="4"/>
  <c r="Z16" i="4"/>
  <c r="Q18" i="4"/>
  <c r="H20" i="4"/>
  <c r="AB21" i="4"/>
  <c r="S23" i="4"/>
  <c r="J25" i="4"/>
  <c r="AC26" i="4"/>
  <c r="T29" i="4"/>
  <c r="AD30" i="4"/>
  <c r="J32" i="4"/>
  <c r="T33" i="4"/>
  <c r="C35" i="4"/>
  <c r="L36" i="4"/>
  <c r="W37" i="4"/>
  <c r="AD38" i="4"/>
  <c r="M40" i="4"/>
  <c r="X41" i="4"/>
  <c r="F43" i="4"/>
  <c r="P44" i="4"/>
  <c r="T45" i="4"/>
  <c r="D46" i="4"/>
  <c r="E47" i="4"/>
  <c r="F48" i="4"/>
  <c r="M7" i="4"/>
  <c r="E10" i="4"/>
  <c r="AA11" i="4"/>
  <c r="Q13" i="4"/>
  <c r="H15" i="4"/>
  <c r="AA16" i="4"/>
  <c r="S18" i="4"/>
  <c r="J20" i="4"/>
  <c r="AC21" i="4"/>
  <c r="T23" i="4"/>
  <c r="K25" i="4"/>
  <c r="C27" i="4"/>
  <c r="V29" i="4"/>
  <c r="E31" i="4"/>
  <c r="N32" i="4"/>
  <c r="X33" i="4"/>
  <c r="D35" i="4"/>
  <c r="O36" i="4"/>
  <c r="Z37" i="4"/>
  <c r="H39" i="4"/>
  <c r="R40" i="4"/>
  <c r="Y41" i="4"/>
  <c r="G43" i="4"/>
  <c r="R44" i="4"/>
  <c r="Y45" i="4"/>
  <c r="E46" i="4"/>
  <c r="F47" i="4"/>
  <c r="H48" i="4"/>
  <c r="V7" i="4"/>
  <c r="D12" i="4"/>
  <c r="W13" i="4"/>
  <c r="N15" i="4"/>
  <c r="X18" i="4"/>
  <c r="P20" i="4"/>
  <c r="Y23" i="4"/>
  <c r="P25" i="4"/>
  <c r="AA29" i="4"/>
  <c r="P32" i="4"/>
  <c r="I35" i="4"/>
  <c r="U40" i="4"/>
  <c r="H10" i="4"/>
  <c r="E17" i="4"/>
  <c r="G22" i="4"/>
  <c r="G27" i="4"/>
  <c r="F31" i="4"/>
  <c r="AB33" i="4"/>
  <c r="S36" i="4"/>
  <c r="S44" i="4"/>
  <c r="AB7" i="4"/>
  <c r="P10" i="4"/>
  <c r="G12" i="4"/>
  <c r="Z13" i="4"/>
  <c r="Q15" i="4"/>
  <c r="I17" i="4"/>
  <c r="AB18" i="4"/>
  <c r="S20" i="4"/>
  <c r="J22" i="4"/>
  <c r="AC23" i="4"/>
  <c r="U25" i="4"/>
  <c r="L27" i="4"/>
  <c r="AC29" i="4"/>
  <c r="L31" i="4"/>
  <c r="V32" i="4"/>
  <c r="AC33" i="4"/>
  <c r="K35" i="4"/>
  <c r="V36" i="4"/>
  <c r="C38" i="4"/>
  <c r="N39" i="4"/>
  <c r="V40" i="4"/>
  <c r="E42" i="4"/>
  <c r="P43" i="4"/>
  <c r="X44" i="4"/>
  <c r="J46" i="4"/>
  <c r="L47" i="4"/>
  <c r="M48" i="4"/>
  <c r="R48" i="4"/>
  <c r="I8" i="4"/>
  <c r="V10" i="4"/>
  <c r="M12" i="4"/>
  <c r="D14" i="4"/>
  <c r="W15" i="4"/>
  <c r="M17" i="4"/>
  <c r="E19" i="4"/>
  <c r="X20" i="4"/>
  <c r="O22" i="4"/>
  <c r="F24" i="4"/>
  <c r="Y25" i="4"/>
  <c r="Q27" i="4"/>
  <c r="C30" i="4"/>
  <c r="M31" i="4"/>
  <c r="X32" i="4"/>
  <c r="F34" i="4"/>
  <c r="P35" i="4"/>
  <c r="W36" i="4"/>
  <c r="E38" i="4"/>
  <c r="R39" i="4"/>
  <c r="AA40" i="4"/>
  <c r="I42" i="4"/>
  <c r="Q43" i="4"/>
  <c r="Z44" i="4"/>
  <c r="N46" i="4"/>
  <c r="M47" i="4"/>
  <c r="N48" i="4"/>
  <c r="R47" i="4"/>
  <c r="D11" i="4"/>
  <c r="O30" i="4"/>
  <c r="G37" i="4"/>
  <c r="AC43" i="4"/>
  <c r="U46" i="4"/>
  <c r="AD41" i="4"/>
  <c r="P8" i="4"/>
  <c r="W10" i="4"/>
  <c r="N12" i="4"/>
  <c r="E14" i="4"/>
  <c r="Y15" i="4"/>
  <c r="P17" i="4"/>
  <c r="G19" i="4"/>
  <c r="Y20" i="4"/>
  <c r="P22" i="4"/>
  <c r="H24" i="4"/>
  <c r="AA25" i="4"/>
  <c r="R27" i="4"/>
  <c r="H30" i="4"/>
  <c r="R31" i="4"/>
  <c r="Y32" i="4"/>
  <c r="G34" i="4"/>
  <c r="S35" i="4"/>
  <c r="AC36" i="4"/>
  <c r="K38" i="4"/>
  <c r="S39" i="4"/>
  <c r="AC40" i="4"/>
  <c r="L42" i="4"/>
  <c r="U43" i="4"/>
  <c r="AD44" i="4"/>
  <c r="P46" i="4"/>
  <c r="Q47" i="4"/>
  <c r="AD8" i="4"/>
  <c r="U31" i="4"/>
  <c r="N38" i="4"/>
  <c r="S42" i="4"/>
  <c r="J39" i="4"/>
  <c r="I48" i="4"/>
  <c r="BF48" i="3"/>
  <c r="BD48" i="3"/>
  <c r="BA48" i="3"/>
  <c r="AZ48" i="3"/>
  <c r="AY48" i="3"/>
  <c r="AX48" i="3"/>
  <c r="AW48" i="3"/>
  <c r="AV48" i="3"/>
  <c r="AU48" i="3"/>
  <c r="AT48" i="3"/>
  <c r="AR48" i="3"/>
  <c r="AQ48" i="3"/>
  <c r="AP48" i="3"/>
  <c r="AO48" i="3"/>
  <c r="AN48" i="3"/>
  <c r="AM48" i="3"/>
  <c r="AL48" i="3"/>
  <c r="AK48" i="3"/>
  <c r="AF48" i="3"/>
  <c r="BF47" i="3"/>
  <c r="BD47" i="3"/>
  <c r="BA47" i="3"/>
  <c r="AZ47" i="3"/>
  <c r="AY47" i="3"/>
  <c r="AX47" i="3"/>
  <c r="AW47" i="3"/>
  <c r="AV47" i="3"/>
  <c r="AU47" i="3"/>
  <c r="AT47" i="3"/>
  <c r="AR47" i="3"/>
  <c r="AQ47" i="3"/>
  <c r="AP47" i="3"/>
  <c r="AO47" i="3"/>
  <c r="AN47" i="3"/>
  <c r="AM47" i="3"/>
  <c r="AL47" i="3"/>
  <c r="AK47" i="3"/>
  <c r="AF47" i="3"/>
  <c r="BF46" i="3"/>
  <c r="BD46" i="3"/>
  <c r="BA46" i="3"/>
  <c r="AZ46" i="3"/>
  <c r="AY46" i="3"/>
  <c r="AX46" i="3"/>
  <c r="AW46" i="3"/>
  <c r="AV46" i="3"/>
  <c r="AU46" i="3"/>
  <c r="AT46" i="3"/>
  <c r="AR46" i="3"/>
  <c r="AQ46" i="3"/>
  <c r="AP46" i="3"/>
  <c r="AO46" i="3"/>
  <c r="AN46" i="3"/>
  <c r="AM46" i="3"/>
  <c r="AL46" i="3"/>
  <c r="AK46" i="3"/>
  <c r="AF46" i="3"/>
  <c r="BF45" i="3"/>
  <c r="BD45" i="3"/>
  <c r="BA45" i="3"/>
  <c r="AZ45" i="3"/>
  <c r="AY45" i="3"/>
  <c r="AX45" i="3"/>
  <c r="AW45" i="3"/>
  <c r="AV45" i="3"/>
  <c r="AU45" i="3"/>
  <c r="AT45" i="3"/>
  <c r="AR45" i="3"/>
  <c r="AQ45" i="3"/>
  <c r="AP45" i="3"/>
  <c r="AO45" i="3"/>
  <c r="AN45" i="3"/>
  <c r="AM45" i="3"/>
  <c r="AL45" i="3"/>
  <c r="AK45" i="3"/>
  <c r="AF45" i="3"/>
  <c r="BF44" i="3"/>
  <c r="BD44" i="3"/>
  <c r="BA44" i="3"/>
  <c r="AZ44" i="3"/>
  <c r="AY44" i="3"/>
  <c r="AX44" i="3"/>
  <c r="AW44" i="3"/>
  <c r="AV44" i="3"/>
  <c r="AU44" i="3"/>
  <c r="AT44" i="3"/>
  <c r="AR44" i="3"/>
  <c r="AQ44" i="3"/>
  <c r="AP44" i="3"/>
  <c r="AO44" i="3"/>
  <c r="AN44" i="3"/>
  <c r="AM44" i="3"/>
  <c r="AL44" i="3"/>
  <c r="AK44" i="3"/>
  <c r="AF44" i="3"/>
  <c r="BF43" i="3"/>
  <c r="BD43" i="3"/>
  <c r="BA43" i="3"/>
  <c r="AZ43" i="3"/>
  <c r="AY43" i="3"/>
  <c r="AX43" i="3"/>
  <c r="AW43" i="3"/>
  <c r="AV43" i="3"/>
  <c r="AU43" i="3"/>
  <c r="AT43" i="3"/>
  <c r="AR43" i="3"/>
  <c r="AQ43" i="3"/>
  <c r="AP43" i="3"/>
  <c r="AO43" i="3"/>
  <c r="AN43" i="3"/>
  <c r="AM43" i="3"/>
  <c r="AL43" i="3"/>
  <c r="AK43" i="3"/>
  <c r="AF43" i="3"/>
  <c r="BF42" i="3"/>
  <c r="BD42" i="3"/>
  <c r="BA42" i="3"/>
  <c r="AZ42" i="3"/>
  <c r="AY42" i="3"/>
  <c r="AX42" i="3"/>
  <c r="AW42" i="3"/>
  <c r="AV42" i="3"/>
  <c r="AU42" i="3"/>
  <c r="AT42" i="3"/>
  <c r="AR42" i="3"/>
  <c r="AQ42" i="3"/>
  <c r="AP42" i="3"/>
  <c r="AO42" i="3"/>
  <c r="AN42" i="3"/>
  <c r="AM42" i="3"/>
  <c r="AL42" i="3"/>
  <c r="AK42" i="3"/>
  <c r="AF42" i="3"/>
  <c r="BF41" i="3"/>
  <c r="BD41" i="3"/>
  <c r="BA41" i="3"/>
  <c r="AZ41" i="3"/>
  <c r="AY41" i="3"/>
  <c r="AX41" i="3"/>
  <c r="AW41" i="3"/>
  <c r="AV41" i="3"/>
  <c r="AU41" i="3"/>
  <c r="AT41" i="3"/>
  <c r="AR41" i="3"/>
  <c r="AQ41" i="3"/>
  <c r="AP41" i="3"/>
  <c r="AO41" i="3"/>
  <c r="AN41" i="3"/>
  <c r="AM41" i="3"/>
  <c r="AL41" i="3"/>
  <c r="AK41" i="3"/>
  <c r="AF41" i="3"/>
  <c r="BF40" i="3"/>
  <c r="BD40" i="3"/>
  <c r="BA40" i="3"/>
  <c r="AZ40" i="3"/>
  <c r="AY40" i="3"/>
  <c r="AX40" i="3"/>
  <c r="AW40" i="3"/>
  <c r="AV40" i="3"/>
  <c r="AU40" i="3"/>
  <c r="AT40" i="3"/>
  <c r="AR40" i="3"/>
  <c r="AQ40" i="3"/>
  <c r="AP40" i="3"/>
  <c r="AO40" i="3"/>
  <c r="AN40" i="3"/>
  <c r="AM40" i="3"/>
  <c r="AL40" i="3"/>
  <c r="AK40" i="3"/>
  <c r="AF40" i="3"/>
  <c r="BF39" i="3"/>
  <c r="BD39" i="3"/>
  <c r="BA39" i="3"/>
  <c r="AZ39" i="3"/>
  <c r="AY39" i="3"/>
  <c r="AX39" i="3"/>
  <c r="AW39" i="3"/>
  <c r="AV39" i="3"/>
  <c r="AU39" i="3"/>
  <c r="AT39" i="3"/>
  <c r="AR39" i="3"/>
  <c r="AQ39" i="3"/>
  <c r="AP39" i="3"/>
  <c r="AO39" i="3"/>
  <c r="AN39" i="3"/>
  <c r="AM39" i="3"/>
  <c r="AL39" i="3"/>
  <c r="AK39" i="3"/>
  <c r="AF39" i="3"/>
  <c r="BF38" i="3"/>
  <c r="BD38" i="3"/>
  <c r="BA38" i="3"/>
  <c r="AZ38" i="3"/>
  <c r="AY38" i="3"/>
  <c r="AX38" i="3"/>
  <c r="AW38" i="3"/>
  <c r="AV38" i="3"/>
  <c r="AU38" i="3"/>
  <c r="AT38" i="3"/>
  <c r="AR38" i="3"/>
  <c r="AQ38" i="3"/>
  <c r="AP38" i="3"/>
  <c r="AO38" i="3"/>
  <c r="AN38" i="3"/>
  <c r="AM38" i="3"/>
  <c r="AL38" i="3"/>
  <c r="AK38" i="3"/>
  <c r="AF38" i="3"/>
  <c r="BF37" i="3"/>
  <c r="BD37" i="3"/>
  <c r="BA37" i="3"/>
  <c r="AZ37" i="3"/>
  <c r="AY37" i="3"/>
  <c r="AX37" i="3"/>
  <c r="AW37" i="3"/>
  <c r="AV37" i="3"/>
  <c r="AU37" i="3"/>
  <c r="AT37" i="3"/>
  <c r="AR37" i="3"/>
  <c r="AQ37" i="3"/>
  <c r="AP37" i="3"/>
  <c r="AO37" i="3"/>
  <c r="AN37" i="3"/>
  <c r="AM37" i="3"/>
  <c r="AL37" i="3"/>
  <c r="AK37" i="3"/>
  <c r="AF37" i="3"/>
  <c r="BF36" i="3"/>
  <c r="BD36" i="3"/>
  <c r="BA36" i="3"/>
  <c r="AZ36" i="3"/>
  <c r="AY36" i="3"/>
  <c r="AX36" i="3"/>
  <c r="AW36" i="3"/>
  <c r="AV36" i="3"/>
  <c r="AU36" i="3"/>
  <c r="AT36" i="3"/>
  <c r="AR36" i="3"/>
  <c r="AQ36" i="3"/>
  <c r="AP36" i="3"/>
  <c r="AO36" i="3"/>
  <c r="AN36" i="3"/>
  <c r="AM36" i="3"/>
  <c r="AL36" i="3"/>
  <c r="AK36" i="3"/>
  <c r="AF36" i="3"/>
  <c r="BF35" i="3"/>
  <c r="BD35" i="3"/>
  <c r="BA35" i="3"/>
  <c r="AZ35" i="3"/>
  <c r="AY35" i="3"/>
  <c r="AX35" i="3"/>
  <c r="AW35" i="3"/>
  <c r="AV35" i="3"/>
  <c r="AU35" i="3"/>
  <c r="AT35" i="3"/>
  <c r="AR35" i="3"/>
  <c r="AQ35" i="3"/>
  <c r="AP35" i="3"/>
  <c r="AO35" i="3"/>
  <c r="AN35" i="3"/>
  <c r="AM35" i="3"/>
  <c r="AL35" i="3"/>
  <c r="AK35" i="3"/>
  <c r="AF35" i="3"/>
  <c r="BF34" i="3"/>
  <c r="BD34" i="3"/>
  <c r="BA34" i="3"/>
  <c r="AZ34" i="3"/>
  <c r="AY34" i="3"/>
  <c r="AX34" i="3"/>
  <c r="AW34" i="3"/>
  <c r="AV34" i="3"/>
  <c r="AU34" i="3"/>
  <c r="AT34" i="3"/>
  <c r="AR34" i="3"/>
  <c r="AQ34" i="3"/>
  <c r="AP34" i="3"/>
  <c r="AO34" i="3"/>
  <c r="AN34" i="3"/>
  <c r="AM34" i="3"/>
  <c r="AL34" i="3"/>
  <c r="AK34" i="3"/>
  <c r="AF34" i="3"/>
  <c r="BF33" i="3"/>
  <c r="BD33" i="3"/>
  <c r="BA33" i="3"/>
  <c r="AZ33" i="3"/>
  <c r="AY33" i="3"/>
  <c r="AX33" i="3"/>
  <c r="AW33" i="3"/>
  <c r="AV33" i="3"/>
  <c r="AU33" i="3"/>
  <c r="AT33" i="3"/>
  <c r="AR33" i="3"/>
  <c r="AQ33" i="3"/>
  <c r="AP33" i="3"/>
  <c r="AO33" i="3"/>
  <c r="AN33" i="3"/>
  <c r="AM33" i="3"/>
  <c r="AL33" i="3"/>
  <c r="AK33" i="3"/>
  <c r="AF33" i="3"/>
  <c r="BF32" i="3"/>
  <c r="BD32" i="3"/>
  <c r="BA32" i="3"/>
  <c r="AZ32" i="3"/>
  <c r="AY32" i="3"/>
  <c r="AX32" i="3"/>
  <c r="AW32" i="3"/>
  <c r="AV32" i="3"/>
  <c r="AU32" i="3"/>
  <c r="AT32" i="3"/>
  <c r="AR32" i="3"/>
  <c r="AQ32" i="3"/>
  <c r="AP32" i="3"/>
  <c r="AO32" i="3"/>
  <c r="AN32" i="3"/>
  <c r="AM32" i="3"/>
  <c r="AL32" i="3"/>
  <c r="AK32" i="3"/>
  <c r="AF32" i="3"/>
  <c r="BF31" i="3"/>
  <c r="BD31" i="3"/>
  <c r="BA31" i="3"/>
  <c r="AZ31" i="3"/>
  <c r="AY31" i="3"/>
  <c r="AX31" i="3"/>
  <c r="AW31" i="3"/>
  <c r="AV31" i="3"/>
  <c r="AU31" i="3"/>
  <c r="AT31" i="3"/>
  <c r="AR31" i="3"/>
  <c r="AQ31" i="3"/>
  <c r="AP31" i="3"/>
  <c r="AO31" i="3"/>
  <c r="AN31" i="3"/>
  <c r="AM31" i="3"/>
  <c r="AL31" i="3"/>
  <c r="AK31" i="3"/>
  <c r="AF31" i="3"/>
  <c r="BF29" i="3"/>
  <c r="BD29" i="3"/>
  <c r="BA29" i="3"/>
  <c r="AZ29" i="3"/>
  <c r="AY29" i="3"/>
  <c r="AX29" i="3"/>
  <c r="AW29" i="3"/>
  <c r="AV29" i="3"/>
  <c r="AU29" i="3"/>
  <c r="AT29" i="3"/>
  <c r="AR29" i="3"/>
  <c r="AQ29" i="3"/>
  <c r="AP29" i="3"/>
  <c r="AO29" i="3"/>
  <c r="AN29" i="3"/>
  <c r="AM29" i="3"/>
  <c r="AL29" i="3"/>
  <c r="AK29" i="3"/>
  <c r="AF29" i="3"/>
  <c r="BF27" i="3"/>
  <c r="BD27" i="3"/>
  <c r="BA27" i="3"/>
  <c r="AZ27" i="3"/>
  <c r="AY27" i="3"/>
  <c r="AX27" i="3"/>
  <c r="AW27" i="3"/>
  <c r="AV27" i="3"/>
  <c r="AU27" i="3"/>
  <c r="AT27" i="3"/>
  <c r="AR27" i="3"/>
  <c r="AQ27" i="3"/>
  <c r="AP27" i="3"/>
  <c r="AO27" i="3"/>
  <c r="AN27" i="3"/>
  <c r="AM27" i="3"/>
  <c r="AL27" i="3"/>
  <c r="AK27" i="3"/>
  <c r="AF27" i="3"/>
  <c r="BF26" i="3"/>
  <c r="BD26" i="3"/>
  <c r="BA26" i="3"/>
  <c r="AZ26" i="3"/>
  <c r="AY26" i="3"/>
  <c r="AX26" i="3"/>
  <c r="AW26" i="3"/>
  <c r="AV26" i="3"/>
  <c r="AU26" i="3"/>
  <c r="AT26" i="3"/>
  <c r="AR26" i="3"/>
  <c r="AQ26" i="3"/>
  <c r="AP26" i="3"/>
  <c r="AO26" i="3"/>
  <c r="AN26" i="3"/>
  <c r="AM26" i="3"/>
  <c r="AL26" i="3"/>
  <c r="AK26" i="3"/>
  <c r="AF26" i="3"/>
  <c r="BF25" i="3"/>
  <c r="BD25" i="3"/>
  <c r="BA25" i="3"/>
  <c r="AZ25" i="3"/>
  <c r="AY25" i="3"/>
  <c r="AX25" i="3"/>
  <c r="AW25" i="3"/>
  <c r="AV25" i="3"/>
  <c r="AU25" i="3"/>
  <c r="AT25" i="3"/>
  <c r="AR25" i="3"/>
  <c r="AQ25" i="3"/>
  <c r="AP25" i="3"/>
  <c r="AO25" i="3"/>
  <c r="AN25" i="3"/>
  <c r="AM25" i="3"/>
  <c r="AL25" i="3"/>
  <c r="AK25" i="3"/>
  <c r="AF25" i="3"/>
  <c r="BF24" i="3"/>
  <c r="BD24" i="3"/>
  <c r="BA24" i="3"/>
  <c r="AZ24" i="3"/>
  <c r="AY24" i="3"/>
  <c r="AX24" i="3"/>
  <c r="AW24" i="3"/>
  <c r="AV24" i="3"/>
  <c r="AU24" i="3"/>
  <c r="AT24" i="3"/>
  <c r="AR24" i="3"/>
  <c r="AQ24" i="3"/>
  <c r="AP24" i="3"/>
  <c r="AO24" i="3"/>
  <c r="AN24" i="3"/>
  <c r="AM24" i="3"/>
  <c r="AL24" i="3"/>
  <c r="AK24" i="3"/>
  <c r="AF24" i="3"/>
  <c r="BF23" i="3"/>
  <c r="BD23" i="3"/>
  <c r="BA23" i="3"/>
  <c r="AZ23" i="3"/>
  <c r="AY23" i="3"/>
  <c r="AX23" i="3"/>
  <c r="AW23" i="3"/>
  <c r="AV23" i="3"/>
  <c r="AU23" i="3"/>
  <c r="AT23" i="3"/>
  <c r="AR23" i="3"/>
  <c r="AQ23" i="3"/>
  <c r="AP23" i="3"/>
  <c r="AO23" i="3"/>
  <c r="AN23" i="3"/>
  <c r="AM23" i="3"/>
  <c r="AL23" i="3"/>
  <c r="AK23" i="3"/>
  <c r="AF23" i="3"/>
  <c r="BF22" i="3"/>
  <c r="BD22" i="3"/>
  <c r="BA22" i="3"/>
  <c r="AZ22" i="3"/>
  <c r="AY22" i="3"/>
  <c r="AX22" i="3"/>
  <c r="AW22" i="3"/>
  <c r="AV22" i="3"/>
  <c r="AU22" i="3"/>
  <c r="AT22" i="3"/>
  <c r="AR22" i="3"/>
  <c r="AQ22" i="3"/>
  <c r="AP22" i="3"/>
  <c r="AO22" i="3"/>
  <c r="AN22" i="3"/>
  <c r="AM22" i="3"/>
  <c r="AL22" i="3"/>
  <c r="AK22" i="3"/>
  <c r="AF22" i="3"/>
  <c r="BF21" i="3"/>
  <c r="BD21" i="3"/>
  <c r="BA21" i="3"/>
  <c r="AZ21" i="3"/>
  <c r="AY21" i="3"/>
  <c r="AX21" i="3"/>
  <c r="AW21" i="3"/>
  <c r="AV21" i="3"/>
  <c r="AU21" i="3"/>
  <c r="AT21" i="3"/>
  <c r="AR21" i="3"/>
  <c r="AQ21" i="3"/>
  <c r="AP21" i="3"/>
  <c r="AO21" i="3"/>
  <c r="AN21" i="3"/>
  <c r="AM21" i="3"/>
  <c r="AL21" i="3"/>
  <c r="AK21" i="3"/>
  <c r="AF21" i="3"/>
  <c r="BF20" i="3"/>
  <c r="BD20" i="3"/>
  <c r="BA20" i="3"/>
  <c r="AZ20" i="3"/>
  <c r="AY20" i="3"/>
  <c r="AX20" i="3"/>
  <c r="AW20" i="3"/>
  <c r="AV20" i="3"/>
  <c r="AU20" i="3"/>
  <c r="AT20" i="3"/>
  <c r="AR20" i="3"/>
  <c r="AQ20" i="3"/>
  <c r="AP20" i="3"/>
  <c r="AO20" i="3"/>
  <c r="AN20" i="3"/>
  <c r="AM20" i="3"/>
  <c r="AL20" i="3"/>
  <c r="AK20" i="3"/>
  <c r="AF20" i="3"/>
  <c r="BF19" i="3"/>
  <c r="BD19" i="3"/>
  <c r="BA19" i="3"/>
  <c r="AZ19" i="3"/>
  <c r="AY19" i="3"/>
  <c r="AX19" i="3"/>
  <c r="AW19" i="3"/>
  <c r="AV19" i="3"/>
  <c r="AU19" i="3"/>
  <c r="AT19" i="3"/>
  <c r="AR19" i="3"/>
  <c r="AQ19" i="3"/>
  <c r="AP19" i="3"/>
  <c r="AO19" i="3"/>
  <c r="AN19" i="3"/>
  <c r="AM19" i="3"/>
  <c r="AL19" i="3"/>
  <c r="AK19" i="3"/>
  <c r="AF19" i="3"/>
  <c r="BF18" i="3"/>
  <c r="BD18" i="3"/>
  <c r="BA18" i="3"/>
  <c r="AZ18" i="3"/>
  <c r="AY18" i="3"/>
  <c r="AX18" i="3"/>
  <c r="AW18" i="3"/>
  <c r="AV18" i="3"/>
  <c r="AU18" i="3"/>
  <c r="AT18" i="3"/>
  <c r="AR18" i="3"/>
  <c r="AQ18" i="3"/>
  <c r="AP18" i="3"/>
  <c r="AO18" i="3"/>
  <c r="AN18" i="3"/>
  <c r="AM18" i="3"/>
  <c r="AL18" i="3"/>
  <c r="AK18" i="3"/>
  <c r="AF18" i="3"/>
  <c r="BF16" i="3"/>
  <c r="BD16" i="3"/>
  <c r="BA16" i="3"/>
  <c r="AZ16" i="3"/>
  <c r="AY16" i="3"/>
  <c r="AX16" i="3"/>
  <c r="AW16" i="3"/>
  <c r="AV16" i="3"/>
  <c r="AU16" i="3"/>
  <c r="AT16" i="3"/>
  <c r="AR16" i="3"/>
  <c r="AQ16" i="3"/>
  <c r="AP16" i="3"/>
  <c r="AO16" i="3"/>
  <c r="AN16" i="3"/>
  <c r="AM16" i="3"/>
  <c r="AL16" i="3"/>
  <c r="AK16" i="3"/>
  <c r="AF16" i="3"/>
  <c r="BF15" i="3"/>
  <c r="BD15" i="3"/>
  <c r="BA15" i="3"/>
  <c r="AZ15" i="3"/>
  <c r="AY15" i="3"/>
  <c r="AX15" i="3"/>
  <c r="AW15" i="3"/>
  <c r="AV15" i="3"/>
  <c r="AU15" i="3"/>
  <c r="AT15" i="3"/>
  <c r="AR15" i="3"/>
  <c r="AQ15" i="3"/>
  <c r="AP15" i="3"/>
  <c r="AO15" i="3"/>
  <c r="AN15" i="3"/>
  <c r="AM15" i="3"/>
  <c r="AL15" i="3"/>
  <c r="AK15" i="3"/>
  <c r="AF15" i="3"/>
  <c r="BF14" i="3"/>
  <c r="BD14" i="3"/>
  <c r="BA14" i="3"/>
  <c r="AZ14" i="3"/>
  <c r="AY14" i="3"/>
  <c r="AX14" i="3"/>
  <c r="AW14" i="3"/>
  <c r="AV14" i="3"/>
  <c r="AU14" i="3"/>
  <c r="AT14" i="3"/>
  <c r="AR14" i="3"/>
  <c r="AQ14" i="3"/>
  <c r="AP14" i="3"/>
  <c r="AO14" i="3"/>
  <c r="AN14" i="3"/>
  <c r="AM14" i="3"/>
  <c r="AL14" i="3"/>
  <c r="AK14" i="3"/>
  <c r="AF14" i="3"/>
  <c r="BF13" i="3"/>
  <c r="BD13" i="3"/>
  <c r="BA13" i="3"/>
  <c r="AZ13" i="3"/>
  <c r="AY13" i="3"/>
  <c r="AX13" i="3"/>
  <c r="AW13" i="3"/>
  <c r="AV13" i="3"/>
  <c r="AU13" i="3"/>
  <c r="AT13" i="3"/>
  <c r="AR13" i="3"/>
  <c r="AQ13" i="3"/>
  <c r="AP13" i="3"/>
  <c r="AO13" i="3"/>
  <c r="AN13" i="3"/>
  <c r="AM13" i="3"/>
  <c r="AL13" i="3"/>
  <c r="AK13" i="3"/>
  <c r="AF13" i="3"/>
  <c r="BF12" i="3"/>
  <c r="BD12" i="3"/>
  <c r="BA12" i="3"/>
  <c r="AZ12" i="3"/>
  <c r="AY12" i="3"/>
  <c r="AX12" i="3"/>
  <c r="AW12" i="3"/>
  <c r="AV12" i="3"/>
  <c r="AU12" i="3"/>
  <c r="AT12" i="3"/>
  <c r="AR12" i="3"/>
  <c r="AQ12" i="3"/>
  <c r="AP12" i="3"/>
  <c r="AO12" i="3"/>
  <c r="AN12" i="3"/>
  <c r="AM12" i="3"/>
  <c r="AL12" i="3"/>
  <c r="AK12" i="3"/>
  <c r="AF12" i="3"/>
  <c r="BF11" i="3"/>
  <c r="BD11" i="3"/>
  <c r="BA11" i="3"/>
  <c r="AZ11" i="3"/>
  <c r="AY11" i="3"/>
  <c r="AX11" i="3"/>
  <c r="AW11" i="3"/>
  <c r="AV11" i="3"/>
  <c r="AU11" i="3"/>
  <c r="AT11" i="3"/>
  <c r="AR11" i="3"/>
  <c r="AQ11" i="3"/>
  <c r="AP11" i="3"/>
  <c r="AO11" i="3"/>
  <c r="AN11" i="3"/>
  <c r="AM11" i="3"/>
  <c r="AL11" i="3"/>
  <c r="AK11" i="3"/>
  <c r="AF11" i="3"/>
  <c r="BF10" i="3"/>
  <c r="BD10" i="3"/>
  <c r="BA10" i="3"/>
  <c r="AZ10" i="3"/>
  <c r="AY10" i="3"/>
  <c r="AX10" i="3"/>
  <c r="AW10" i="3"/>
  <c r="AV10" i="3"/>
  <c r="AU10" i="3"/>
  <c r="AT10" i="3"/>
  <c r="AR10" i="3"/>
  <c r="AQ10" i="3"/>
  <c r="AP10" i="3"/>
  <c r="AO10" i="3"/>
  <c r="AN10" i="3"/>
  <c r="AM10" i="3"/>
  <c r="AL10" i="3"/>
  <c r="AK10" i="3"/>
  <c r="AF10" i="3"/>
  <c r="BF9" i="3"/>
  <c r="BD9" i="3"/>
  <c r="BA9" i="3"/>
  <c r="AZ9" i="3"/>
  <c r="AY9" i="3"/>
  <c r="AX9" i="3"/>
  <c r="AW9" i="3"/>
  <c r="AV9" i="3"/>
  <c r="AU9" i="3"/>
  <c r="AT9" i="3"/>
  <c r="AR9" i="3"/>
  <c r="AQ9" i="3"/>
  <c r="AP9" i="3"/>
  <c r="AO9" i="3"/>
  <c r="AN9" i="3"/>
  <c r="AM9" i="3"/>
  <c r="AL9" i="3"/>
  <c r="AK9" i="3"/>
  <c r="AF9" i="3"/>
  <c r="BF8" i="3"/>
  <c r="BD8" i="3"/>
  <c r="BA8" i="3"/>
  <c r="AZ8" i="3"/>
  <c r="AY8" i="3"/>
  <c r="AX8" i="3"/>
  <c r="AW8" i="3"/>
  <c r="AV8" i="3"/>
  <c r="AU8" i="3"/>
  <c r="AT8" i="3"/>
  <c r="AR8" i="3"/>
  <c r="AQ8" i="3"/>
  <c r="AP8" i="3"/>
  <c r="AO8" i="3"/>
  <c r="AN8" i="3"/>
  <c r="AM8" i="3"/>
  <c r="AL8" i="3"/>
  <c r="AK8" i="3"/>
  <c r="AF8" i="3"/>
  <c r="BF7" i="3"/>
  <c r="BD7" i="3"/>
  <c r="BA7" i="3"/>
  <c r="AZ7" i="3"/>
  <c r="AY7" i="3"/>
  <c r="AX7" i="3"/>
  <c r="AW7" i="3"/>
  <c r="AV7" i="3"/>
  <c r="AU7" i="3"/>
  <c r="AT7" i="3"/>
  <c r="AR7" i="3"/>
  <c r="AQ7" i="3"/>
  <c r="AP7" i="3"/>
  <c r="AO7" i="3"/>
  <c r="AN7" i="3"/>
  <c r="AM7" i="3"/>
  <c r="AL7" i="3"/>
  <c r="AK7" i="3"/>
  <c r="AF7" i="3"/>
  <c r="AK7" i="1"/>
  <c r="AL7" i="1"/>
  <c r="AM7" i="1"/>
  <c r="AN7" i="1"/>
  <c r="AO7" i="1"/>
  <c r="AP7" i="1"/>
  <c r="AQ7" i="1"/>
  <c r="AR7" i="1"/>
  <c r="AT7" i="1"/>
  <c r="AU7" i="1"/>
  <c r="AV7" i="1"/>
  <c r="AW7" i="1"/>
  <c r="AX7" i="1"/>
  <c r="AY7" i="1"/>
  <c r="BA7" i="1"/>
  <c r="BD7" i="1"/>
  <c r="BF7" i="1"/>
  <c r="AK8" i="1"/>
  <c r="AL8" i="1"/>
  <c r="AM8" i="1"/>
  <c r="AN8" i="1"/>
  <c r="AO8" i="1"/>
  <c r="AP8" i="1"/>
  <c r="AQ8" i="1"/>
  <c r="AR8" i="1"/>
  <c r="AT8" i="1"/>
  <c r="AU8" i="1"/>
  <c r="AV8" i="1"/>
  <c r="AW8" i="1"/>
  <c r="AX8" i="1"/>
  <c r="AY8" i="1"/>
  <c r="BA8" i="1"/>
  <c r="BD8" i="1"/>
  <c r="BF8" i="1"/>
  <c r="AK9" i="1"/>
  <c r="AL9" i="1"/>
  <c r="AM9" i="1"/>
  <c r="AN9" i="1"/>
  <c r="AO9" i="1"/>
  <c r="AP9" i="1"/>
  <c r="AQ9" i="1"/>
  <c r="AR9" i="1"/>
  <c r="AT9" i="1"/>
  <c r="AU9" i="1"/>
  <c r="AV9" i="1"/>
  <c r="AW9" i="1"/>
  <c r="AX9" i="1"/>
  <c r="AY9" i="1"/>
  <c r="BA9" i="1"/>
  <c r="BD9" i="1"/>
  <c r="BF9" i="1"/>
  <c r="AK10" i="1"/>
  <c r="AL10" i="1"/>
  <c r="AM10" i="1"/>
  <c r="AN10" i="1"/>
  <c r="AO10" i="1"/>
  <c r="AP10" i="1"/>
  <c r="AQ10" i="1"/>
  <c r="AR10" i="1"/>
  <c r="AT10" i="1"/>
  <c r="AU10" i="1"/>
  <c r="AV10" i="1"/>
  <c r="AW10" i="1"/>
  <c r="AX10" i="1"/>
  <c r="AY10" i="1"/>
  <c r="BA10" i="1"/>
  <c r="BD10" i="1"/>
  <c r="BF10" i="1"/>
  <c r="AK11" i="1"/>
  <c r="AL11" i="1"/>
  <c r="AM11" i="1"/>
  <c r="AN11" i="1"/>
  <c r="AO11" i="1"/>
  <c r="AP11" i="1"/>
  <c r="AQ11" i="1"/>
  <c r="AR11" i="1"/>
  <c r="AT11" i="1"/>
  <c r="AU11" i="1"/>
  <c r="AV11" i="1"/>
  <c r="AW11" i="1"/>
  <c r="AX11" i="1"/>
  <c r="AY11" i="1"/>
  <c r="BA11" i="1"/>
  <c r="BD11" i="1"/>
  <c r="BF11" i="1"/>
  <c r="AK12" i="1"/>
  <c r="AL12" i="1"/>
  <c r="AM12" i="1"/>
  <c r="AN12" i="1"/>
  <c r="AO12" i="1"/>
  <c r="AP12" i="1"/>
  <c r="AQ12" i="1"/>
  <c r="AR12" i="1"/>
  <c r="AT12" i="1"/>
  <c r="AU12" i="1"/>
  <c r="AV12" i="1"/>
  <c r="AW12" i="1"/>
  <c r="AX12" i="1"/>
  <c r="AY12" i="1"/>
  <c r="BA12" i="1"/>
  <c r="BD12" i="1"/>
  <c r="BF12" i="1"/>
  <c r="AK13" i="1"/>
  <c r="AL13" i="1"/>
  <c r="AM13" i="1"/>
  <c r="AN13" i="1"/>
  <c r="AO13" i="1"/>
  <c r="AP13" i="1"/>
  <c r="AQ13" i="1"/>
  <c r="AR13" i="1"/>
  <c r="AT13" i="1"/>
  <c r="AU13" i="1"/>
  <c r="AV13" i="1"/>
  <c r="AW13" i="1"/>
  <c r="AX13" i="1"/>
  <c r="AY13" i="1"/>
  <c r="BA13" i="1"/>
  <c r="BD13" i="1"/>
  <c r="BF13" i="1"/>
  <c r="AK14" i="1"/>
  <c r="AL14" i="1"/>
  <c r="AM14" i="1"/>
  <c r="AN14" i="1"/>
  <c r="AO14" i="1"/>
  <c r="AP14" i="1"/>
  <c r="AQ14" i="1"/>
  <c r="AR14" i="1"/>
  <c r="AT14" i="1"/>
  <c r="AU14" i="1"/>
  <c r="AV14" i="1"/>
  <c r="AW14" i="1"/>
  <c r="AX14" i="1"/>
  <c r="AY14" i="1"/>
  <c r="BA14" i="1"/>
  <c r="BD14" i="1"/>
  <c r="BF14" i="1"/>
  <c r="AK15" i="1"/>
  <c r="AL15" i="1"/>
  <c r="AM15" i="1"/>
  <c r="AN15" i="1"/>
  <c r="AO15" i="1"/>
  <c r="AP15" i="1"/>
  <c r="AQ15" i="1"/>
  <c r="AR15" i="1"/>
  <c r="AT15" i="1"/>
  <c r="AU15" i="1"/>
  <c r="AV15" i="1"/>
  <c r="AW15" i="1"/>
  <c r="AX15" i="1"/>
  <c r="AY15" i="1"/>
  <c r="BA15" i="1"/>
  <c r="BD15" i="1"/>
  <c r="BF15" i="1"/>
  <c r="AK16" i="1"/>
  <c r="AL16" i="1"/>
  <c r="AM16" i="1"/>
  <c r="AN16" i="1"/>
  <c r="AO16" i="1"/>
  <c r="AP16" i="1"/>
  <c r="AQ16" i="1"/>
  <c r="AR16" i="1"/>
  <c r="AT16" i="1"/>
  <c r="AU16" i="1"/>
  <c r="AV16" i="1"/>
  <c r="AW16" i="1"/>
  <c r="AX16" i="1"/>
  <c r="AY16" i="1"/>
  <c r="BA16" i="1"/>
  <c r="BD16" i="1"/>
  <c r="BF16" i="1"/>
  <c r="AK18" i="1"/>
  <c r="AL18" i="1"/>
  <c r="AM18" i="1"/>
  <c r="AN18" i="1"/>
  <c r="AO18" i="1"/>
  <c r="AP18" i="1"/>
  <c r="AQ18" i="1"/>
  <c r="AR18" i="1"/>
  <c r="AT18" i="1"/>
  <c r="AU18" i="1"/>
  <c r="AV18" i="1"/>
  <c r="AW18" i="1"/>
  <c r="AX18" i="1"/>
  <c r="AY18" i="1"/>
  <c r="BA18" i="1"/>
  <c r="BD18" i="1"/>
  <c r="BF18" i="1"/>
  <c r="AK19" i="1"/>
  <c r="AL19" i="1"/>
  <c r="AM19" i="1"/>
  <c r="AN19" i="1"/>
  <c r="AO19" i="1"/>
  <c r="AP19" i="1"/>
  <c r="AQ19" i="1"/>
  <c r="AR19" i="1"/>
  <c r="AT19" i="1"/>
  <c r="AU19" i="1"/>
  <c r="AV19" i="1"/>
  <c r="AW19" i="1"/>
  <c r="AX19" i="1"/>
  <c r="AY19" i="1"/>
  <c r="BA19" i="1"/>
  <c r="BD19" i="1"/>
  <c r="BF19" i="1"/>
  <c r="AK20" i="1"/>
  <c r="AL20" i="1"/>
  <c r="AM20" i="1"/>
  <c r="AN20" i="1"/>
  <c r="AO20" i="1"/>
  <c r="AP20" i="1"/>
  <c r="AQ20" i="1"/>
  <c r="AR20" i="1"/>
  <c r="AT20" i="1"/>
  <c r="AU20" i="1"/>
  <c r="AV20" i="1"/>
  <c r="AW20" i="1"/>
  <c r="AX20" i="1"/>
  <c r="AY20" i="1"/>
  <c r="BA20" i="1"/>
  <c r="BD20" i="1"/>
  <c r="BF20" i="1"/>
  <c r="AK21" i="1"/>
  <c r="AL21" i="1"/>
  <c r="AM21" i="1"/>
  <c r="AN21" i="1"/>
  <c r="AO21" i="1"/>
  <c r="AP21" i="1"/>
  <c r="AQ21" i="1"/>
  <c r="AR21" i="1"/>
  <c r="AT21" i="1"/>
  <c r="AU21" i="1"/>
  <c r="AV21" i="1"/>
  <c r="AW21" i="1"/>
  <c r="AX21" i="1"/>
  <c r="AY21" i="1"/>
  <c r="BA21" i="1"/>
  <c r="BD21" i="1"/>
  <c r="BF21" i="1"/>
  <c r="AK22" i="1"/>
  <c r="AL22" i="1"/>
  <c r="AM22" i="1"/>
  <c r="AN22" i="1"/>
  <c r="AO22" i="1"/>
  <c r="AP22" i="1"/>
  <c r="AQ22" i="1"/>
  <c r="AR22" i="1"/>
  <c r="AT22" i="1"/>
  <c r="AU22" i="1"/>
  <c r="AV22" i="1"/>
  <c r="AW22" i="1"/>
  <c r="AX22" i="1"/>
  <c r="AY22" i="1"/>
  <c r="BA22" i="1"/>
  <c r="BD22" i="1"/>
  <c r="BF22" i="1"/>
  <c r="AK23" i="1"/>
  <c r="AL23" i="1"/>
  <c r="AM23" i="1"/>
  <c r="AN23" i="1"/>
  <c r="AO23" i="1"/>
  <c r="AP23" i="1"/>
  <c r="AQ23" i="1"/>
  <c r="AR23" i="1"/>
  <c r="AT23" i="1"/>
  <c r="AU23" i="1"/>
  <c r="AV23" i="1"/>
  <c r="AW23" i="1"/>
  <c r="AX23" i="1"/>
  <c r="AY23" i="1"/>
  <c r="BA23" i="1"/>
  <c r="BD23" i="1"/>
  <c r="BF23" i="1"/>
  <c r="AK24" i="1"/>
  <c r="AL24" i="1"/>
  <c r="AM24" i="1"/>
  <c r="AN24" i="1"/>
  <c r="AO24" i="1"/>
  <c r="AP24" i="1"/>
  <c r="AQ24" i="1"/>
  <c r="AR24" i="1"/>
  <c r="AT24" i="1"/>
  <c r="AU24" i="1"/>
  <c r="AV24" i="1"/>
  <c r="AW24" i="1"/>
  <c r="AX24" i="1"/>
  <c r="AY24" i="1"/>
  <c r="BA24" i="1"/>
  <c r="BD24" i="1"/>
  <c r="BF24" i="1"/>
  <c r="AK25" i="1"/>
  <c r="AL25" i="1"/>
  <c r="AM25" i="1"/>
  <c r="AN25" i="1"/>
  <c r="AO25" i="1"/>
  <c r="AP25" i="1"/>
  <c r="AQ25" i="1"/>
  <c r="AR25" i="1"/>
  <c r="AT25" i="1"/>
  <c r="AU25" i="1"/>
  <c r="AV25" i="1"/>
  <c r="AW25" i="1"/>
  <c r="AX25" i="1"/>
  <c r="AY25" i="1"/>
  <c r="BA25" i="1"/>
  <c r="BD25" i="1"/>
  <c r="BF25" i="1"/>
  <c r="AK26" i="1"/>
  <c r="AL26" i="1"/>
  <c r="AM26" i="1"/>
  <c r="AN26" i="1"/>
  <c r="AO26" i="1"/>
  <c r="AP26" i="1"/>
  <c r="AQ26" i="1"/>
  <c r="AR26" i="1"/>
  <c r="AT26" i="1"/>
  <c r="AU26" i="1"/>
  <c r="AV26" i="1"/>
  <c r="AW26" i="1"/>
  <c r="AX26" i="1"/>
  <c r="AY26" i="1"/>
  <c r="BA26" i="1"/>
  <c r="BD26" i="1"/>
  <c r="BF26" i="1"/>
  <c r="AK27" i="1"/>
  <c r="AL27" i="1"/>
  <c r="AM27" i="1"/>
  <c r="AN27" i="1"/>
  <c r="AO27" i="1"/>
  <c r="AP27" i="1"/>
  <c r="AQ27" i="1"/>
  <c r="AR27" i="1"/>
  <c r="AT27" i="1"/>
  <c r="AU27" i="1"/>
  <c r="AV27" i="1"/>
  <c r="AW27" i="1"/>
  <c r="AX27" i="1"/>
  <c r="AY27" i="1"/>
  <c r="BA27" i="1"/>
  <c r="BD27" i="1"/>
  <c r="BF27" i="1"/>
  <c r="AK29" i="1"/>
  <c r="AL29" i="1"/>
  <c r="AM29" i="1"/>
  <c r="AN29" i="1"/>
  <c r="AO29" i="1"/>
  <c r="AP29" i="1"/>
  <c r="AQ29" i="1"/>
  <c r="AR29" i="1"/>
  <c r="AT29" i="1"/>
  <c r="AU29" i="1"/>
  <c r="AV29" i="1"/>
  <c r="AW29" i="1"/>
  <c r="AX29" i="1"/>
  <c r="AY29" i="1"/>
  <c r="BA29" i="1"/>
  <c r="BD29" i="1"/>
  <c r="BF29" i="1"/>
  <c r="AK31" i="1"/>
  <c r="AL31" i="1"/>
  <c r="AM31" i="1"/>
  <c r="AN31" i="1"/>
  <c r="AO31" i="1"/>
  <c r="AP31" i="1"/>
  <c r="AQ31" i="1"/>
  <c r="AR31" i="1"/>
  <c r="AT31" i="1"/>
  <c r="AU31" i="1"/>
  <c r="AV31" i="1"/>
  <c r="AW31" i="1"/>
  <c r="AX31" i="1"/>
  <c r="AY31" i="1"/>
  <c r="BA31" i="1"/>
  <c r="BD31" i="1"/>
  <c r="BF31" i="1"/>
  <c r="AK32" i="1"/>
  <c r="AL32" i="1"/>
  <c r="AM32" i="1"/>
  <c r="AN32" i="1"/>
  <c r="AO32" i="1"/>
  <c r="AP32" i="1"/>
  <c r="AQ32" i="1"/>
  <c r="AR32" i="1"/>
  <c r="AT32" i="1"/>
  <c r="AU32" i="1"/>
  <c r="AV32" i="1"/>
  <c r="AW32" i="1"/>
  <c r="AX32" i="1"/>
  <c r="AY32" i="1"/>
  <c r="BA32" i="1"/>
  <c r="BD32" i="1"/>
  <c r="BF32" i="1"/>
  <c r="AK33" i="1"/>
  <c r="AL33" i="1"/>
  <c r="AM33" i="1"/>
  <c r="AN33" i="1"/>
  <c r="AO33" i="1"/>
  <c r="AP33" i="1"/>
  <c r="AQ33" i="1"/>
  <c r="AR33" i="1"/>
  <c r="AT33" i="1"/>
  <c r="AU33" i="1"/>
  <c r="AV33" i="1"/>
  <c r="AW33" i="1"/>
  <c r="AX33" i="1"/>
  <c r="AY33" i="1"/>
  <c r="BA33" i="1"/>
  <c r="BD33" i="1"/>
  <c r="BF33" i="1"/>
  <c r="AK34" i="1"/>
  <c r="AL34" i="1"/>
  <c r="AM34" i="1"/>
  <c r="AN34" i="1"/>
  <c r="AO34" i="1"/>
  <c r="AP34" i="1"/>
  <c r="AQ34" i="1"/>
  <c r="AR34" i="1"/>
  <c r="AT34" i="1"/>
  <c r="AU34" i="1"/>
  <c r="AV34" i="1"/>
  <c r="AW34" i="1"/>
  <c r="AX34" i="1"/>
  <c r="AY34" i="1"/>
  <c r="BA34" i="1"/>
  <c r="BD34" i="1"/>
  <c r="BF34" i="1"/>
  <c r="AK35" i="1"/>
  <c r="AL35" i="1"/>
  <c r="AM35" i="1"/>
  <c r="AN35" i="1"/>
  <c r="AO35" i="1"/>
  <c r="AP35" i="1"/>
  <c r="AQ35" i="1"/>
  <c r="AR35" i="1"/>
  <c r="AT35" i="1"/>
  <c r="AU35" i="1"/>
  <c r="AV35" i="1"/>
  <c r="AW35" i="1"/>
  <c r="AX35" i="1"/>
  <c r="AY35" i="1"/>
  <c r="BA35" i="1"/>
  <c r="BD35" i="1"/>
  <c r="BF35" i="1"/>
  <c r="AK36" i="1"/>
  <c r="AL36" i="1"/>
  <c r="AM36" i="1"/>
  <c r="AN36" i="1"/>
  <c r="AO36" i="1"/>
  <c r="AP36" i="1"/>
  <c r="AQ36" i="1"/>
  <c r="AR36" i="1"/>
  <c r="AT36" i="1"/>
  <c r="AU36" i="1"/>
  <c r="AV36" i="1"/>
  <c r="AW36" i="1"/>
  <c r="AX36" i="1"/>
  <c r="AY36" i="1"/>
  <c r="BA36" i="1"/>
  <c r="BD36" i="1"/>
  <c r="BF36" i="1"/>
  <c r="AK37" i="1"/>
  <c r="AL37" i="1"/>
  <c r="AM37" i="1"/>
  <c r="AN37" i="1"/>
  <c r="AO37" i="1"/>
  <c r="AP37" i="1"/>
  <c r="AQ37" i="1"/>
  <c r="AR37" i="1"/>
  <c r="AT37" i="1"/>
  <c r="AU37" i="1"/>
  <c r="AV37" i="1"/>
  <c r="AW37" i="1"/>
  <c r="AX37" i="1"/>
  <c r="AY37" i="1"/>
  <c r="BA37" i="1"/>
  <c r="BD37" i="1"/>
  <c r="BF37" i="1"/>
  <c r="AK38" i="1"/>
  <c r="AL38" i="1"/>
  <c r="AM38" i="1"/>
  <c r="AN38" i="1"/>
  <c r="AO38" i="1"/>
  <c r="AP38" i="1"/>
  <c r="AQ38" i="1"/>
  <c r="AR38" i="1"/>
  <c r="AT38" i="1"/>
  <c r="AU38" i="1"/>
  <c r="AV38" i="1"/>
  <c r="AW38" i="1"/>
  <c r="AX38" i="1"/>
  <c r="AY38" i="1"/>
  <c r="BA38" i="1"/>
  <c r="BD38" i="1"/>
  <c r="BF38" i="1"/>
  <c r="AK39" i="1"/>
  <c r="AL39" i="1"/>
  <c r="AM39" i="1"/>
  <c r="AN39" i="1"/>
  <c r="AO39" i="1"/>
  <c r="AP39" i="1"/>
  <c r="AQ39" i="1"/>
  <c r="AR39" i="1"/>
  <c r="AT39" i="1"/>
  <c r="AU39" i="1"/>
  <c r="AV39" i="1"/>
  <c r="AW39" i="1"/>
  <c r="AX39" i="1"/>
  <c r="AY39" i="1"/>
  <c r="BA39" i="1"/>
  <c r="BD39" i="1"/>
  <c r="BF39" i="1"/>
  <c r="AK40" i="1"/>
  <c r="AL40" i="1"/>
  <c r="AM40" i="1"/>
  <c r="AN40" i="1"/>
  <c r="AO40" i="1"/>
  <c r="AP40" i="1"/>
  <c r="AQ40" i="1"/>
  <c r="AR40" i="1"/>
  <c r="AT40" i="1"/>
  <c r="AU40" i="1"/>
  <c r="AV40" i="1"/>
  <c r="AW40" i="1"/>
  <c r="AX40" i="1"/>
  <c r="AY40" i="1"/>
  <c r="BA40" i="1"/>
  <c r="BD40" i="1"/>
  <c r="BF40" i="1"/>
  <c r="AK41" i="1"/>
  <c r="AL41" i="1"/>
  <c r="AM41" i="1"/>
  <c r="AN41" i="1"/>
  <c r="AO41" i="1"/>
  <c r="AP41" i="1"/>
  <c r="AQ41" i="1"/>
  <c r="AR41" i="1"/>
  <c r="AT41" i="1"/>
  <c r="AU41" i="1"/>
  <c r="AV41" i="1"/>
  <c r="AW41" i="1"/>
  <c r="AX41" i="1"/>
  <c r="AY41" i="1"/>
  <c r="BA41" i="1"/>
  <c r="BD41" i="1"/>
  <c r="BF41" i="1"/>
  <c r="AK42" i="1"/>
  <c r="AL42" i="1"/>
  <c r="AM42" i="1"/>
  <c r="AN42" i="1"/>
  <c r="AO42" i="1"/>
  <c r="AP42" i="1"/>
  <c r="AQ42" i="1"/>
  <c r="AR42" i="1"/>
  <c r="AT42" i="1"/>
  <c r="AU42" i="1"/>
  <c r="AV42" i="1"/>
  <c r="AW42" i="1"/>
  <c r="AX42" i="1"/>
  <c r="AY42" i="1"/>
  <c r="BA42" i="1"/>
  <c r="BD42" i="1"/>
  <c r="BF42" i="1"/>
  <c r="AK43" i="1"/>
  <c r="AL43" i="1"/>
  <c r="AM43" i="1"/>
  <c r="AN43" i="1"/>
  <c r="AO43" i="1"/>
  <c r="AP43" i="1"/>
  <c r="AQ43" i="1"/>
  <c r="AR43" i="1"/>
  <c r="AT43" i="1"/>
  <c r="AU43" i="1"/>
  <c r="AV43" i="1"/>
  <c r="AW43" i="1"/>
  <c r="AX43" i="1"/>
  <c r="AY43" i="1"/>
  <c r="BA43" i="1"/>
  <c r="BD43" i="1"/>
  <c r="BF43" i="1"/>
  <c r="AK44" i="1"/>
  <c r="AL44" i="1"/>
  <c r="AM44" i="1"/>
  <c r="AN44" i="1"/>
  <c r="AO44" i="1"/>
  <c r="AP44" i="1"/>
  <c r="AQ44" i="1"/>
  <c r="AR44" i="1"/>
  <c r="AT44" i="1"/>
  <c r="AU44" i="1"/>
  <c r="AV44" i="1"/>
  <c r="AW44" i="1"/>
  <c r="AX44" i="1"/>
  <c r="AY44" i="1"/>
  <c r="BA44" i="1"/>
  <c r="BD44" i="1"/>
  <c r="BF44" i="1"/>
  <c r="AK45" i="1"/>
  <c r="AL45" i="1"/>
  <c r="AM45" i="1"/>
  <c r="AN45" i="1"/>
  <c r="AO45" i="1"/>
  <c r="AP45" i="1"/>
  <c r="AQ45" i="1"/>
  <c r="AR45" i="1"/>
  <c r="AT45" i="1"/>
  <c r="AU45" i="1"/>
  <c r="AV45" i="1"/>
  <c r="AW45" i="1"/>
  <c r="AX45" i="1"/>
  <c r="AY45" i="1"/>
  <c r="BA45" i="1"/>
  <c r="BD45" i="1"/>
  <c r="BF45" i="1"/>
  <c r="AK46" i="1"/>
  <c r="AL46" i="1"/>
  <c r="AM46" i="1"/>
  <c r="AN46" i="1"/>
  <c r="AO46" i="1"/>
  <c r="AP46" i="1"/>
  <c r="AQ46" i="1"/>
  <c r="AR46" i="1"/>
  <c r="AT46" i="1"/>
  <c r="AU46" i="1"/>
  <c r="AV46" i="1"/>
  <c r="AW46" i="1"/>
  <c r="AX46" i="1"/>
  <c r="AY46" i="1"/>
  <c r="BA46" i="1"/>
  <c r="BD46" i="1"/>
  <c r="BF46" i="1"/>
  <c r="AK47" i="1"/>
  <c r="AL47" i="1"/>
  <c r="AM47" i="1"/>
  <c r="AN47" i="1"/>
  <c r="AO47" i="1"/>
  <c r="AP47" i="1"/>
  <c r="AQ47" i="1"/>
  <c r="AR47" i="1"/>
  <c r="AT47" i="1"/>
  <c r="AU47" i="1"/>
  <c r="AV47" i="1"/>
  <c r="AW47" i="1"/>
  <c r="AX47" i="1"/>
  <c r="AY47" i="1"/>
  <c r="BA47" i="1"/>
  <c r="BD47" i="1"/>
  <c r="BF47" i="1"/>
  <c r="AK48" i="1"/>
  <c r="AL48" i="1"/>
  <c r="AM48" i="1"/>
  <c r="AN48" i="1"/>
  <c r="AO48" i="1"/>
  <c r="AP48" i="1"/>
  <c r="AQ48" i="1"/>
  <c r="AR48" i="1"/>
  <c r="AW48" i="1"/>
  <c r="AX48" i="1"/>
  <c r="AY48" i="1"/>
  <c r="BA48" i="1"/>
  <c r="BD48" i="1"/>
  <c r="BF48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29" i="1"/>
  <c r="AF27" i="1"/>
  <c r="AF26" i="1"/>
  <c r="AF25" i="1"/>
  <c r="AF24" i="1"/>
  <c r="AF23" i="1"/>
  <c r="AF22" i="1"/>
  <c r="AF21" i="1"/>
  <c r="AF20" i="1"/>
  <c r="AF19" i="1"/>
  <c r="AF18" i="1"/>
  <c r="AF16" i="1"/>
  <c r="AF15" i="1"/>
  <c r="AF14" i="1"/>
  <c r="AF13" i="1"/>
  <c r="AF12" i="1"/>
  <c r="AF11" i="1"/>
  <c r="AF10" i="1"/>
  <c r="AF9" i="1"/>
  <c r="AF8" i="1"/>
  <c r="AF7" i="1"/>
  <c r="AE48" i="1" l="1"/>
  <c r="AX30" i="4"/>
  <c r="AY30" i="4"/>
  <c r="BB30" i="4"/>
  <c r="AL30" i="4"/>
  <c r="AU30" i="4"/>
  <c r="AT30" i="4"/>
  <c r="AK30" i="4"/>
  <c r="AZ30" i="4"/>
  <c r="BA30" i="4"/>
  <c r="AV30" i="4"/>
  <c r="BC30" i="4"/>
  <c r="AW30" i="4"/>
  <c r="AF30" i="4"/>
  <c r="AR30" i="4"/>
  <c r="AQ30" i="4"/>
  <c r="AM30" i="4"/>
  <c r="AN30" i="4"/>
  <c r="BE30" i="4"/>
  <c r="AO30" i="4"/>
  <c r="AP30" i="4"/>
  <c r="AM33" i="4"/>
  <c r="AN33" i="4"/>
  <c r="AP45" i="4"/>
  <c r="AO45" i="4"/>
  <c r="AN23" i="4"/>
  <c r="AM23" i="4"/>
  <c r="AR29" i="4"/>
  <c r="AQ29" i="4"/>
  <c r="AP27" i="4"/>
  <c r="AO27" i="4"/>
  <c r="AR46" i="4"/>
  <c r="AQ46" i="4"/>
  <c r="AN9" i="4"/>
  <c r="AM9" i="4"/>
  <c r="AP43" i="4"/>
  <c r="AO43" i="4"/>
  <c r="AR38" i="4"/>
  <c r="AQ38" i="4"/>
  <c r="AN27" i="4"/>
  <c r="AM27" i="4"/>
  <c r="AP22" i="4"/>
  <c r="AO22" i="4"/>
  <c r="AR10" i="4"/>
  <c r="AQ10" i="4"/>
  <c r="AL45" i="4"/>
  <c r="AK45" i="4"/>
  <c r="AN40" i="4"/>
  <c r="AM40" i="4"/>
  <c r="AR45" i="4"/>
  <c r="AQ45" i="4"/>
  <c r="AL41" i="4"/>
  <c r="AK41" i="4"/>
  <c r="AQ43" i="4"/>
  <c r="AR43" i="4"/>
  <c r="AP44" i="4"/>
  <c r="AO44" i="4"/>
  <c r="AR48" i="4"/>
  <c r="AQ48" i="4"/>
  <c r="AP26" i="4"/>
  <c r="AO26" i="4"/>
  <c r="AR21" i="4"/>
  <c r="AQ21" i="4"/>
  <c r="AQ34" i="4"/>
  <c r="AR34" i="4"/>
  <c r="AL29" i="4"/>
  <c r="AK29" i="4"/>
  <c r="AL24" i="4"/>
  <c r="AK24" i="4"/>
  <c r="AP41" i="4"/>
  <c r="AO41" i="4"/>
  <c r="AL34" i="4"/>
  <c r="AK34" i="4"/>
  <c r="AN25" i="4"/>
  <c r="AM25" i="4"/>
  <c r="AO20" i="4"/>
  <c r="AP20" i="4"/>
  <c r="AR14" i="4"/>
  <c r="AQ14" i="4"/>
  <c r="AN44" i="4"/>
  <c r="AM44" i="4"/>
  <c r="AP39" i="4"/>
  <c r="AO39" i="4"/>
  <c r="AQ26" i="4"/>
  <c r="AR26" i="4"/>
  <c r="AK22" i="4"/>
  <c r="AL22" i="4"/>
  <c r="AN16" i="4"/>
  <c r="AM16" i="4"/>
  <c r="AR22" i="4"/>
  <c r="AQ22" i="4"/>
  <c r="AL18" i="4"/>
  <c r="AK18" i="4"/>
  <c r="AL20" i="4"/>
  <c r="AK20" i="4"/>
  <c r="AP35" i="4"/>
  <c r="AO35" i="4"/>
  <c r="AN48" i="4"/>
  <c r="AM48" i="4"/>
  <c r="AK16" i="4"/>
  <c r="AL16" i="4"/>
  <c r="AM42" i="4"/>
  <c r="AN42" i="4"/>
  <c r="AP37" i="4"/>
  <c r="AO37" i="4"/>
  <c r="AR8" i="4"/>
  <c r="AQ8" i="4"/>
  <c r="AR32" i="4"/>
  <c r="AQ32" i="4"/>
  <c r="AN21" i="4"/>
  <c r="AM21" i="4"/>
  <c r="AP15" i="4"/>
  <c r="AO15" i="4"/>
  <c r="AL39" i="4"/>
  <c r="AK39" i="4"/>
  <c r="AN34" i="4"/>
  <c r="AM34" i="4"/>
  <c r="AR39" i="4"/>
  <c r="AQ39" i="4"/>
  <c r="AL35" i="4"/>
  <c r="AK35" i="4"/>
  <c r="AP32" i="4"/>
  <c r="AO32" i="4"/>
  <c r="AL37" i="4"/>
  <c r="AK37" i="4"/>
  <c r="AP48" i="4"/>
  <c r="AO48" i="4"/>
  <c r="AL43" i="4"/>
  <c r="AK43" i="4"/>
  <c r="AL10" i="4"/>
  <c r="AK10" i="4"/>
  <c r="AN17" i="4"/>
  <c r="AM17" i="4"/>
  <c r="AN19" i="4"/>
  <c r="AM19" i="4"/>
  <c r="AP13" i="4"/>
  <c r="AO13" i="4"/>
  <c r="AN38" i="4"/>
  <c r="AM38" i="4"/>
  <c r="AP33" i="4"/>
  <c r="AO33" i="4"/>
  <c r="AR20" i="4"/>
  <c r="AQ20" i="4"/>
  <c r="AL15" i="4"/>
  <c r="AK15" i="4"/>
  <c r="AN10" i="4"/>
  <c r="AM10" i="4"/>
  <c r="AR15" i="4"/>
  <c r="AQ15" i="4"/>
  <c r="AL46" i="4"/>
  <c r="AK46" i="4"/>
  <c r="AP21" i="4"/>
  <c r="AO21" i="4"/>
  <c r="AM36" i="4"/>
  <c r="AN36" i="4"/>
  <c r="AP31" i="4"/>
  <c r="AO31" i="4"/>
  <c r="AR24" i="4"/>
  <c r="AQ24" i="4"/>
  <c r="AN14" i="4"/>
  <c r="AM14" i="4"/>
  <c r="AO9" i="4"/>
  <c r="AP9" i="4"/>
  <c r="AL33" i="4"/>
  <c r="AK33" i="4"/>
  <c r="AN26" i="4"/>
  <c r="AM26" i="4"/>
  <c r="AR33" i="4"/>
  <c r="AQ33" i="4"/>
  <c r="AL27" i="4"/>
  <c r="AK27" i="4"/>
  <c r="AL48" i="4"/>
  <c r="AK48" i="4"/>
  <c r="AQ40" i="4"/>
  <c r="AR40" i="4"/>
  <c r="AL26" i="4"/>
  <c r="AK26" i="4"/>
  <c r="AP18" i="4"/>
  <c r="AO18" i="4"/>
  <c r="AR47" i="4"/>
  <c r="AQ47" i="4"/>
  <c r="AK13" i="4"/>
  <c r="AL13" i="4"/>
  <c r="AN12" i="4"/>
  <c r="AM12" i="4"/>
  <c r="AR41" i="4"/>
  <c r="AQ41" i="4"/>
  <c r="AN8" i="4"/>
  <c r="AM8" i="4"/>
  <c r="AN32" i="4"/>
  <c r="AM32" i="4"/>
  <c r="AP25" i="4"/>
  <c r="AO25" i="4"/>
  <c r="AR13" i="4"/>
  <c r="AQ13" i="4"/>
  <c r="AL9" i="4"/>
  <c r="AK9" i="4"/>
  <c r="AN43" i="4"/>
  <c r="AM43" i="4"/>
  <c r="AR9" i="4"/>
  <c r="AQ9" i="4"/>
  <c r="AL44" i="4"/>
  <c r="AK44" i="4"/>
  <c r="AM46" i="4"/>
  <c r="AN46" i="4"/>
  <c r="AP7" i="4"/>
  <c r="AO7" i="4"/>
  <c r="AP46" i="4"/>
  <c r="AO46" i="4"/>
  <c r="AL40" i="4"/>
  <c r="AK40" i="4"/>
  <c r="AM29" i="4"/>
  <c r="AN29" i="4"/>
  <c r="AO23" i="4"/>
  <c r="AP23" i="4"/>
  <c r="AR18" i="4"/>
  <c r="AQ18" i="4"/>
  <c r="AP42" i="4"/>
  <c r="AO42" i="4"/>
  <c r="AQ31" i="4"/>
  <c r="AR31" i="4"/>
  <c r="AL25" i="4"/>
  <c r="AK25" i="4"/>
  <c r="AN20" i="4"/>
  <c r="AM20" i="4"/>
  <c r="AR25" i="4"/>
  <c r="AQ25" i="4"/>
  <c r="AL21" i="4"/>
  <c r="AK21" i="4"/>
  <c r="AN47" i="4"/>
  <c r="AM47" i="4"/>
  <c r="AR17" i="4"/>
  <c r="AQ17" i="4"/>
  <c r="AM45" i="4"/>
  <c r="AN45" i="4"/>
  <c r="AP40" i="4"/>
  <c r="AO40" i="4"/>
  <c r="AR35" i="4"/>
  <c r="AQ35" i="4"/>
  <c r="AN24" i="4"/>
  <c r="AM24" i="4"/>
  <c r="AP19" i="4"/>
  <c r="AO19" i="4"/>
  <c r="AL42" i="4"/>
  <c r="AK42" i="4"/>
  <c r="AN37" i="4"/>
  <c r="AM37" i="4"/>
  <c r="AP8" i="4"/>
  <c r="AO8" i="4"/>
  <c r="AR42" i="4"/>
  <c r="AQ42" i="4"/>
  <c r="AL38" i="4"/>
  <c r="AK38" i="4"/>
  <c r="AP11" i="4"/>
  <c r="AO11" i="4"/>
  <c r="AO17" i="4"/>
  <c r="AP17" i="4"/>
  <c r="AL17" i="4"/>
  <c r="AK17" i="4"/>
  <c r="AN22" i="4"/>
  <c r="AM22" i="4"/>
  <c r="AP16" i="4"/>
  <c r="AO16" i="4"/>
  <c r="AR11" i="4"/>
  <c r="AQ11" i="4"/>
  <c r="AN41" i="4"/>
  <c r="AM41" i="4"/>
  <c r="AP36" i="4"/>
  <c r="AO36" i="4"/>
  <c r="AR23" i="4"/>
  <c r="AQ23" i="4"/>
  <c r="AK19" i="4"/>
  <c r="AL19" i="4"/>
  <c r="AN13" i="4"/>
  <c r="AM13" i="4"/>
  <c r="AR19" i="4"/>
  <c r="AQ19" i="4"/>
  <c r="AL14" i="4"/>
  <c r="AK14" i="4"/>
  <c r="AR7" i="4"/>
  <c r="AQ7" i="4"/>
  <c r="AO14" i="4"/>
  <c r="AP14" i="4"/>
  <c r="AQ37" i="4"/>
  <c r="AR37" i="4"/>
  <c r="AN39" i="4"/>
  <c r="AM39" i="4"/>
  <c r="AP34" i="4"/>
  <c r="AO34" i="4"/>
  <c r="AR27" i="4"/>
  <c r="AQ27" i="4"/>
  <c r="AN18" i="4"/>
  <c r="AM18" i="4"/>
  <c r="AP12" i="4"/>
  <c r="AO12" i="4"/>
  <c r="AL36" i="4"/>
  <c r="AK36" i="4"/>
  <c r="AN31" i="4"/>
  <c r="AM31" i="4"/>
  <c r="AR36" i="4"/>
  <c r="AQ36" i="4"/>
  <c r="AK8" i="4"/>
  <c r="AL8" i="4"/>
  <c r="AL32" i="4"/>
  <c r="AK32" i="4"/>
  <c r="AL23" i="4"/>
  <c r="AK23" i="4"/>
  <c r="AL31" i="4"/>
  <c r="AK31" i="4"/>
  <c r="AL47" i="4"/>
  <c r="AK47" i="4"/>
  <c r="AP38" i="4"/>
  <c r="AO38" i="4"/>
  <c r="AN15" i="4"/>
  <c r="AM15" i="4"/>
  <c r="AP10" i="4"/>
  <c r="AO10" i="4"/>
  <c r="AR44" i="4"/>
  <c r="AQ44" i="4"/>
  <c r="AN35" i="4"/>
  <c r="AM35" i="4"/>
  <c r="AP29" i="4"/>
  <c r="AO29" i="4"/>
  <c r="AR16" i="4"/>
  <c r="AQ16" i="4"/>
  <c r="AL12" i="4"/>
  <c r="AK12" i="4"/>
  <c r="AR12" i="4"/>
  <c r="AQ12" i="4"/>
  <c r="AP47" i="4"/>
  <c r="AO47" i="4"/>
  <c r="AM11" i="4"/>
  <c r="AN11" i="4"/>
  <c r="AN7" i="4"/>
  <c r="AM7" i="4"/>
  <c r="AL11" i="4"/>
  <c r="AK11" i="4"/>
  <c r="AL7" i="4"/>
  <c r="AK7" i="4"/>
  <c r="AP24" i="4"/>
  <c r="AO24" i="4"/>
  <c r="AU17" i="4"/>
  <c r="AT17" i="4"/>
  <c r="BE17" i="4"/>
  <c r="AZ17" i="4"/>
  <c r="AF17" i="4"/>
  <c r="AV17" i="4"/>
  <c r="AW17" i="4"/>
  <c r="AX17" i="4"/>
  <c r="AY17" i="4"/>
  <c r="BA17" i="4"/>
  <c r="BB17" i="4"/>
  <c r="BC17" i="4"/>
  <c r="BE27" i="3"/>
  <c r="BE8" i="3"/>
  <c r="BG13" i="3"/>
  <c r="BE41" i="3"/>
  <c r="I52" i="4"/>
  <c r="AE29" i="3"/>
  <c r="BG36" i="3"/>
  <c r="BE43" i="3"/>
  <c r="BG45" i="3"/>
  <c r="BG24" i="3"/>
  <c r="AC52" i="4"/>
  <c r="AB50" i="4"/>
  <c r="D54" i="4"/>
  <c r="BE24" i="3"/>
  <c r="BG26" i="3"/>
  <c r="BE48" i="3"/>
  <c r="U51" i="4"/>
  <c r="M50" i="4"/>
  <c r="T54" i="4"/>
  <c r="D52" i="4"/>
  <c r="BE27" i="1"/>
  <c r="BE16" i="1"/>
  <c r="H53" i="4"/>
  <c r="BE31" i="1"/>
  <c r="M52" i="4"/>
  <c r="X54" i="4"/>
  <c r="L53" i="4"/>
  <c r="BE37" i="4"/>
  <c r="C52" i="4"/>
  <c r="W50" i="4"/>
  <c r="S54" i="4"/>
  <c r="G53" i="4"/>
  <c r="S50" i="4"/>
  <c r="K54" i="4"/>
  <c r="S51" i="4"/>
  <c r="BE18" i="1"/>
  <c r="BE14" i="3"/>
  <c r="BE20" i="3"/>
  <c r="BG32" i="1"/>
  <c r="BE26" i="1"/>
  <c r="BE23" i="1"/>
  <c r="BG20" i="1"/>
  <c r="BG9" i="3"/>
  <c r="BG15" i="3"/>
  <c r="BE16" i="3"/>
  <c r="BG19" i="3"/>
  <c r="BG31" i="3"/>
  <c r="AE34" i="3"/>
  <c r="BG37" i="3"/>
  <c r="BG40" i="3"/>
  <c r="BG37" i="1"/>
  <c r="BE35" i="1"/>
  <c r="AE9" i="3"/>
  <c r="BE13" i="3"/>
  <c r="AE15" i="3"/>
  <c r="BG22" i="3"/>
  <c r="BG43" i="3"/>
  <c r="BG47" i="3"/>
  <c r="T52" i="4"/>
  <c r="H52" i="4"/>
  <c r="AE22" i="3"/>
  <c r="AE25" i="3"/>
  <c r="AE35" i="3"/>
  <c r="C50" i="4"/>
  <c r="S53" i="4"/>
  <c r="G51" i="4"/>
  <c r="BE43" i="1"/>
  <c r="BG8" i="3"/>
  <c r="AE14" i="3"/>
  <c r="BE15" i="3"/>
  <c r="BE19" i="3"/>
  <c r="AE24" i="3"/>
  <c r="BE34" i="3"/>
  <c r="BG14" i="3"/>
  <c r="BG18" i="3"/>
  <c r="AE19" i="3"/>
  <c r="BG21" i="3"/>
  <c r="BE26" i="3"/>
  <c r="BG29" i="3"/>
  <c r="BE31" i="3"/>
  <c r="BG33" i="3"/>
  <c r="AE39" i="3"/>
  <c r="BE47" i="3"/>
  <c r="Q54" i="4"/>
  <c r="AB51" i="4"/>
  <c r="AB52" i="4"/>
  <c r="P54" i="4"/>
  <c r="P50" i="4"/>
  <c r="P52" i="4"/>
  <c r="D53" i="4"/>
  <c r="AB54" i="4"/>
  <c r="P53" i="4"/>
  <c r="D51" i="4"/>
  <c r="BC24" i="4"/>
  <c r="BG33" i="1"/>
  <c r="BE9" i="3"/>
  <c r="AE10" i="3"/>
  <c r="AE13" i="3"/>
  <c r="AE27" i="3"/>
  <c r="AE36" i="3"/>
  <c r="BE40" i="3"/>
  <c r="BG46" i="3"/>
  <c r="K50" i="4"/>
  <c r="AA54" i="4"/>
  <c r="O51" i="4"/>
  <c r="BG19" i="1"/>
  <c r="AE18" i="3"/>
  <c r="BE21" i="3"/>
  <c r="BE22" i="3"/>
  <c r="AE23" i="3"/>
  <c r="BE25" i="3"/>
  <c r="BG27" i="3"/>
  <c r="BE29" i="3"/>
  <c r="BE33" i="3"/>
  <c r="BE34" i="1"/>
  <c r="BE7" i="1"/>
  <c r="BG16" i="3"/>
  <c r="AE20" i="3"/>
  <c r="BG23" i="3"/>
  <c r="Y52" i="4"/>
  <c r="Y53" i="4"/>
  <c r="T53" i="4"/>
  <c r="T50" i="4"/>
  <c r="T51" i="4"/>
  <c r="H54" i="4"/>
  <c r="H50" i="4"/>
  <c r="H51" i="4"/>
  <c r="BG45" i="1"/>
  <c r="BG31" i="1"/>
  <c r="BE20" i="1"/>
  <c r="BE15" i="1"/>
  <c r="BE12" i="1"/>
  <c r="BG9" i="1"/>
  <c r="AE8" i="3"/>
  <c r="BG10" i="3"/>
  <c r="BG48" i="3"/>
  <c r="BE18" i="4"/>
  <c r="AY12" i="4"/>
  <c r="C53" i="4"/>
  <c r="G50" i="4"/>
  <c r="W51" i="4"/>
  <c r="W54" i="4"/>
  <c r="W53" i="4"/>
  <c r="K52" i="4"/>
  <c r="K51" i="4"/>
  <c r="BE10" i="3"/>
  <c r="AE21" i="3"/>
  <c r="BE23" i="3"/>
  <c r="AE31" i="3"/>
  <c r="AE32" i="3"/>
  <c r="BE35" i="3"/>
  <c r="BE36" i="3"/>
  <c r="AE37" i="3"/>
  <c r="AE40" i="3"/>
  <c r="D50" i="4"/>
  <c r="AE44" i="3"/>
  <c r="BE46" i="3"/>
  <c r="AE47" i="3"/>
  <c r="P51" i="4"/>
  <c r="S52" i="4"/>
  <c r="AB53" i="4"/>
  <c r="BE37" i="3"/>
  <c r="G54" i="4"/>
  <c r="BE47" i="4"/>
  <c r="AT47" i="4"/>
  <c r="BB46" i="4"/>
  <c r="AX44" i="4"/>
  <c r="BE43" i="4"/>
  <c r="AU43" i="4"/>
  <c r="AZ41" i="4"/>
  <c r="BE40" i="4"/>
  <c r="AV40" i="4"/>
  <c r="BE39" i="4"/>
  <c r="BB38" i="4"/>
  <c r="AT36" i="4"/>
  <c r="BA35" i="4"/>
  <c r="BE34" i="4"/>
  <c r="AW34" i="4"/>
  <c r="AT33" i="4"/>
  <c r="BB32" i="4"/>
  <c r="BE31" i="4"/>
  <c r="AY31" i="4"/>
  <c r="AT29" i="4"/>
  <c r="BB27" i="4"/>
  <c r="BE26" i="4"/>
  <c r="AZ26" i="4"/>
  <c r="AV25" i="4"/>
  <c r="BE23" i="4"/>
  <c r="AZ23" i="4"/>
  <c r="BE21" i="4"/>
  <c r="BE20" i="4"/>
  <c r="BA20" i="4"/>
  <c r="AW19" i="4"/>
  <c r="BA16" i="4"/>
  <c r="AW15" i="4"/>
  <c r="AT14" i="4"/>
  <c r="BB13" i="4"/>
  <c r="AU11" i="4"/>
  <c r="AD52" i="4"/>
  <c r="R51" i="4"/>
  <c r="BC10" i="4"/>
  <c r="V54" i="4"/>
  <c r="AV8" i="4"/>
  <c r="BG32" i="3"/>
  <c r="AE33" i="3"/>
  <c r="BG35" i="3"/>
  <c r="AE41" i="3"/>
  <c r="AE46" i="3"/>
  <c r="C51" i="4"/>
  <c r="G52" i="4"/>
  <c r="AE26" i="3"/>
  <c r="BE39" i="3"/>
  <c r="BG41" i="3"/>
  <c r="BE45" i="3"/>
  <c r="AE48" i="3"/>
  <c r="C54" i="4"/>
  <c r="BG44" i="3"/>
  <c r="AE45" i="3"/>
  <c r="BE38" i="3"/>
  <c r="BG38" i="3"/>
  <c r="AE38" i="3"/>
  <c r="BG42" i="3"/>
  <c r="BE42" i="3"/>
  <c r="BE12" i="3"/>
  <c r="AE12" i="3"/>
  <c r="AX48" i="4"/>
  <c r="BC13" i="4"/>
  <c r="BE14" i="4"/>
  <c r="BE11" i="3"/>
  <c r="BG11" i="3"/>
  <c r="AE11" i="3"/>
  <c r="AY9" i="4"/>
  <c r="BC46" i="4"/>
  <c r="AV43" i="4"/>
  <c r="AD51" i="4"/>
  <c r="F51" i="4"/>
  <c r="BC27" i="4"/>
  <c r="BE36" i="4"/>
  <c r="BE16" i="4"/>
  <c r="X50" i="4"/>
  <c r="X51" i="4"/>
  <c r="X52" i="4"/>
  <c r="X53" i="4"/>
  <c r="L50" i="4"/>
  <c r="L54" i="4"/>
  <c r="L51" i="4"/>
  <c r="L52" i="4"/>
  <c r="BE24" i="4"/>
  <c r="AX34" i="4"/>
  <c r="AF40" i="4"/>
  <c r="Q50" i="4"/>
  <c r="BA38" i="4"/>
  <c r="BE33" i="4"/>
  <c r="AY26" i="4"/>
  <c r="BB16" i="4"/>
  <c r="AX37" i="4"/>
  <c r="BE42" i="4"/>
  <c r="AY48" i="4"/>
  <c r="Y51" i="4"/>
  <c r="U54" i="4"/>
  <c r="BA32" i="4"/>
  <c r="AU25" i="4"/>
  <c r="AZ20" i="4"/>
  <c r="AV11" i="4"/>
  <c r="AW22" i="4"/>
  <c r="AW40" i="4"/>
  <c r="U50" i="4"/>
  <c r="I51" i="4"/>
  <c r="Q52" i="4"/>
  <c r="BC42" i="4"/>
  <c r="AW37" i="4"/>
  <c r="AU8" i="4"/>
  <c r="BC45" i="4"/>
  <c r="E50" i="4"/>
  <c r="AC51" i="4"/>
  <c r="I53" i="4"/>
  <c r="E54" i="4"/>
  <c r="Y54" i="4"/>
  <c r="AV19" i="4"/>
  <c r="BB35" i="4"/>
  <c r="AY41" i="4"/>
  <c r="AX31" i="4"/>
  <c r="AZ9" i="4"/>
  <c r="BA23" i="4"/>
  <c r="AU29" i="4"/>
  <c r="Y50" i="4"/>
  <c r="M51" i="4"/>
  <c r="U52" i="4"/>
  <c r="M53" i="4"/>
  <c r="AX12" i="4"/>
  <c r="AC53" i="4"/>
  <c r="Q53" i="4"/>
  <c r="E53" i="4"/>
  <c r="I50" i="4"/>
  <c r="E52" i="4"/>
  <c r="I54" i="4"/>
  <c r="AF19" i="4"/>
  <c r="AC50" i="4"/>
  <c r="Q51" i="4"/>
  <c r="BB45" i="4"/>
  <c r="AU47" i="4"/>
  <c r="M54" i="4"/>
  <c r="AV22" i="4"/>
  <c r="BE10" i="4"/>
  <c r="AX15" i="4"/>
  <c r="AF22" i="4"/>
  <c r="AY44" i="4"/>
  <c r="U53" i="4"/>
  <c r="E51" i="4"/>
  <c r="O50" i="4"/>
  <c r="AC54" i="4"/>
  <c r="W52" i="4"/>
  <c r="O54" i="4"/>
  <c r="K53" i="4"/>
  <c r="AA53" i="4"/>
  <c r="AA52" i="4"/>
  <c r="O53" i="4"/>
  <c r="BC7" i="4"/>
  <c r="AA51" i="4"/>
  <c r="O52" i="4"/>
  <c r="AA50" i="4"/>
  <c r="AV7" i="4"/>
  <c r="AY7" i="4"/>
  <c r="AF8" i="4"/>
  <c r="AW8" i="4"/>
  <c r="BA9" i="4"/>
  <c r="AF11" i="4"/>
  <c r="AW11" i="4"/>
  <c r="AZ12" i="4"/>
  <c r="BE13" i="4"/>
  <c r="AU14" i="4"/>
  <c r="AY15" i="4"/>
  <c r="BC16" i="4"/>
  <c r="AT18" i="4"/>
  <c r="AX19" i="4"/>
  <c r="BB20" i="4"/>
  <c r="AT21" i="4"/>
  <c r="AX22" i="4"/>
  <c r="BB23" i="4"/>
  <c r="AT24" i="4"/>
  <c r="AF25" i="4"/>
  <c r="AW25" i="4"/>
  <c r="BA26" i="4"/>
  <c r="BE27" i="4"/>
  <c r="AV29" i="4"/>
  <c r="AZ31" i="4"/>
  <c r="BC32" i="4"/>
  <c r="AU33" i="4"/>
  <c r="AY34" i="4"/>
  <c r="BC35" i="4"/>
  <c r="AU36" i="4"/>
  <c r="AY37" i="4"/>
  <c r="BC38" i="4"/>
  <c r="AT39" i="4"/>
  <c r="AX40" i="4"/>
  <c r="BA41" i="4"/>
  <c r="AF43" i="4"/>
  <c r="AW43" i="4"/>
  <c r="AZ44" i="4"/>
  <c r="BE45" i="4"/>
  <c r="BE46" i="4"/>
  <c r="AV47" i="4"/>
  <c r="AZ48" i="4"/>
  <c r="V50" i="4"/>
  <c r="R52" i="4"/>
  <c r="AX8" i="4"/>
  <c r="BB9" i="4"/>
  <c r="AT10" i="4"/>
  <c r="AX11" i="4"/>
  <c r="BA12" i="4"/>
  <c r="AV14" i="4"/>
  <c r="AZ15" i="4"/>
  <c r="AU18" i="4"/>
  <c r="AY19" i="4"/>
  <c r="BC20" i="4"/>
  <c r="AU21" i="4"/>
  <c r="AY22" i="4"/>
  <c r="BC23" i="4"/>
  <c r="AU24" i="4"/>
  <c r="AX25" i="4"/>
  <c r="BB26" i="4"/>
  <c r="AF29" i="4"/>
  <c r="AW29" i="4"/>
  <c r="BA31" i="4"/>
  <c r="BE32" i="4"/>
  <c r="AV33" i="4"/>
  <c r="AZ34" i="4"/>
  <c r="BE35" i="4"/>
  <c r="AV36" i="4"/>
  <c r="AZ37" i="4"/>
  <c r="AU39" i="4"/>
  <c r="AY40" i="4"/>
  <c r="BB41" i="4"/>
  <c r="AT42" i="4"/>
  <c r="AX43" i="4"/>
  <c r="BA44" i="4"/>
  <c r="AF47" i="4"/>
  <c r="AW47" i="4"/>
  <c r="BA48" i="4"/>
  <c r="J50" i="4"/>
  <c r="F52" i="4"/>
  <c r="AD53" i="4"/>
  <c r="AY8" i="4"/>
  <c r="BC9" i="4"/>
  <c r="AU10" i="4"/>
  <c r="AY11" i="4"/>
  <c r="BB12" i="4"/>
  <c r="AT13" i="4"/>
  <c r="AF14" i="4"/>
  <c r="AW14" i="4"/>
  <c r="BA15" i="4"/>
  <c r="AV18" i="4"/>
  <c r="AZ19" i="4"/>
  <c r="AV21" i="4"/>
  <c r="AZ22" i="4"/>
  <c r="AV24" i="4"/>
  <c r="AY25" i="4"/>
  <c r="BC26" i="4"/>
  <c r="AT27" i="4"/>
  <c r="AX29" i="4"/>
  <c r="BB31" i="4"/>
  <c r="AF33" i="4"/>
  <c r="AW33" i="4"/>
  <c r="BA34" i="4"/>
  <c r="AF36" i="4"/>
  <c r="AW36" i="4"/>
  <c r="BA37" i="4"/>
  <c r="BE38" i="4"/>
  <c r="AV39" i="4"/>
  <c r="AZ40" i="4"/>
  <c r="BC41" i="4"/>
  <c r="AU42" i="4"/>
  <c r="AY43" i="4"/>
  <c r="BB44" i="4"/>
  <c r="AT45" i="4"/>
  <c r="AT46" i="4"/>
  <c r="AX47" i="4"/>
  <c r="BB48" i="4"/>
  <c r="V51" i="4"/>
  <c r="R53" i="4"/>
  <c r="AD54" i="4"/>
  <c r="AZ8" i="4"/>
  <c r="BE9" i="4"/>
  <c r="AV10" i="4"/>
  <c r="AZ11" i="4"/>
  <c r="BC12" i="4"/>
  <c r="AU13" i="4"/>
  <c r="AX14" i="4"/>
  <c r="BB15" i="4"/>
  <c r="AT16" i="4"/>
  <c r="AF18" i="4"/>
  <c r="AW18" i="4"/>
  <c r="BA19" i="4"/>
  <c r="AF21" i="4"/>
  <c r="AW21" i="4"/>
  <c r="BA22" i="4"/>
  <c r="AF24" i="4"/>
  <c r="AW24" i="4"/>
  <c r="AZ25" i="4"/>
  <c r="AU27" i="4"/>
  <c r="AY29" i="4"/>
  <c r="BC31" i="4"/>
  <c r="AT32" i="4"/>
  <c r="AX33" i="4"/>
  <c r="BB34" i="4"/>
  <c r="AT35" i="4"/>
  <c r="AX36" i="4"/>
  <c r="BB37" i="4"/>
  <c r="AT38" i="4"/>
  <c r="AF39" i="4"/>
  <c r="AW39" i="4"/>
  <c r="BA40" i="4"/>
  <c r="BE41" i="4"/>
  <c r="AV42" i="4"/>
  <c r="AZ43" i="4"/>
  <c r="BC44" i="4"/>
  <c r="AU45" i="4"/>
  <c r="AU46" i="4"/>
  <c r="AY47" i="4"/>
  <c r="BC48" i="4"/>
  <c r="J51" i="4"/>
  <c r="F53" i="4"/>
  <c r="R54" i="4"/>
  <c r="BA8" i="4"/>
  <c r="AF10" i="4"/>
  <c r="AW10" i="4"/>
  <c r="BA11" i="4"/>
  <c r="BE12" i="4"/>
  <c r="AV13" i="4"/>
  <c r="AY14" i="4"/>
  <c r="BC15" i="4"/>
  <c r="AU16" i="4"/>
  <c r="AX18" i="4"/>
  <c r="BB19" i="4"/>
  <c r="AT20" i="4"/>
  <c r="AX21" i="4"/>
  <c r="BB22" i="4"/>
  <c r="AT23" i="4"/>
  <c r="AX24" i="4"/>
  <c r="BA25" i="4"/>
  <c r="AV27" i="4"/>
  <c r="AZ29" i="4"/>
  <c r="AU32" i="4"/>
  <c r="AY33" i="4"/>
  <c r="BC34" i="4"/>
  <c r="AU35" i="4"/>
  <c r="AY36" i="4"/>
  <c r="BC37" i="4"/>
  <c r="AU38" i="4"/>
  <c r="AX39" i="4"/>
  <c r="BB40" i="4"/>
  <c r="AF42" i="4"/>
  <c r="AW42" i="4"/>
  <c r="BA43" i="4"/>
  <c r="BE44" i="4"/>
  <c r="AV45" i="4"/>
  <c r="AV46" i="4"/>
  <c r="AZ47" i="4"/>
  <c r="V52" i="4"/>
  <c r="F54" i="4"/>
  <c r="BB8" i="4"/>
  <c r="AT9" i="4"/>
  <c r="AX10" i="4"/>
  <c r="BB11" i="4"/>
  <c r="AF13" i="4"/>
  <c r="AW13" i="4"/>
  <c r="AZ14" i="4"/>
  <c r="BE15" i="4"/>
  <c r="AV16" i="4"/>
  <c r="AY18" i="4"/>
  <c r="BC19" i="4"/>
  <c r="AU20" i="4"/>
  <c r="AY21" i="4"/>
  <c r="BC22" i="4"/>
  <c r="AU23" i="4"/>
  <c r="AY24" i="4"/>
  <c r="BB25" i="4"/>
  <c r="AT26" i="4"/>
  <c r="AF27" i="4"/>
  <c r="AW27" i="4"/>
  <c r="BA29" i="4"/>
  <c r="AV32" i="4"/>
  <c r="AZ33" i="4"/>
  <c r="AV35" i="4"/>
  <c r="AZ36" i="4"/>
  <c r="AV38" i="4"/>
  <c r="AY39" i="4"/>
  <c r="BC40" i="4"/>
  <c r="AT41" i="4"/>
  <c r="AX42" i="4"/>
  <c r="BB43" i="4"/>
  <c r="AF45" i="4"/>
  <c r="AW45" i="4"/>
  <c r="AF46" i="4"/>
  <c r="AW46" i="4"/>
  <c r="BA47" i="4"/>
  <c r="BE48" i="4"/>
  <c r="J52" i="4"/>
  <c r="BC8" i="4"/>
  <c r="AU9" i="4"/>
  <c r="AY10" i="4"/>
  <c r="BC11" i="4"/>
  <c r="AT12" i="4"/>
  <c r="AX13" i="4"/>
  <c r="BA14" i="4"/>
  <c r="AF16" i="4"/>
  <c r="AW16" i="4"/>
  <c r="AZ18" i="4"/>
  <c r="BE19" i="4"/>
  <c r="AV20" i="4"/>
  <c r="AZ21" i="4"/>
  <c r="BE22" i="4"/>
  <c r="AV23" i="4"/>
  <c r="AZ24" i="4"/>
  <c r="BC25" i="4"/>
  <c r="AU26" i="4"/>
  <c r="AX27" i="4"/>
  <c r="BB29" i="4"/>
  <c r="AT31" i="4"/>
  <c r="AF32" i="4"/>
  <c r="AW32" i="4"/>
  <c r="BA33" i="4"/>
  <c r="AF35" i="4"/>
  <c r="AW35" i="4"/>
  <c r="BA36" i="4"/>
  <c r="AF38" i="4"/>
  <c r="AW38" i="4"/>
  <c r="AZ39" i="4"/>
  <c r="AU41" i="4"/>
  <c r="AY42" i="4"/>
  <c r="BC43" i="4"/>
  <c r="AT44" i="4"/>
  <c r="AX45" i="4"/>
  <c r="AX46" i="4"/>
  <c r="BB47" i="4"/>
  <c r="AT48" i="4"/>
  <c r="V53" i="4"/>
  <c r="BE8" i="4"/>
  <c r="AV9" i="4"/>
  <c r="AZ10" i="4"/>
  <c r="AU12" i="4"/>
  <c r="AY13" i="4"/>
  <c r="BB14" i="4"/>
  <c r="AT15" i="4"/>
  <c r="AX16" i="4"/>
  <c r="BA18" i="4"/>
  <c r="AF20" i="4"/>
  <c r="AW20" i="4"/>
  <c r="BA21" i="4"/>
  <c r="AF23" i="4"/>
  <c r="AW23" i="4"/>
  <c r="BA24" i="4"/>
  <c r="BE25" i="4"/>
  <c r="AV26" i="4"/>
  <c r="AY27" i="4"/>
  <c r="BC29" i="4"/>
  <c r="AU31" i="4"/>
  <c r="AX32" i="4"/>
  <c r="BB33" i="4"/>
  <c r="AT34" i="4"/>
  <c r="AX35" i="4"/>
  <c r="BB36" i="4"/>
  <c r="AT37" i="4"/>
  <c r="AX38" i="4"/>
  <c r="BA39" i="4"/>
  <c r="AV41" i="4"/>
  <c r="AZ42" i="4"/>
  <c r="AU44" i="4"/>
  <c r="AY45" i="4"/>
  <c r="AY46" i="4"/>
  <c r="BC47" i="4"/>
  <c r="AU48" i="4"/>
  <c r="AD50" i="4"/>
  <c r="J53" i="4"/>
  <c r="AF9" i="4"/>
  <c r="AW9" i="4"/>
  <c r="BA10" i="4"/>
  <c r="BE11" i="4"/>
  <c r="AV12" i="4"/>
  <c r="AZ13" i="4"/>
  <c r="BC14" i="4"/>
  <c r="AU15" i="4"/>
  <c r="AY16" i="4"/>
  <c r="BB18" i="4"/>
  <c r="AT19" i="4"/>
  <c r="AX20" i="4"/>
  <c r="BB21" i="4"/>
  <c r="AT22" i="4"/>
  <c r="AX23" i="4"/>
  <c r="BB24" i="4"/>
  <c r="AF26" i="4"/>
  <c r="AW26" i="4"/>
  <c r="AZ27" i="4"/>
  <c r="BE29" i="4"/>
  <c r="AV31" i="4"/>
  <c r="AY32" i="4"/>
  <c r="BC33" i="4"/>
  <c r="AU34" i="4"/>
  <c r="AY35" i="4"/>
  <c r="BC36" i="4"/>
  <c r="AU37" i="4"/>
  <c r="AY38" i="4"/>
  <c r="BB39" i="4"/>
  <c r="AT40" i="4"/>
  <c r="AF41" i="4"/>
  <c r="AW41" i="4"/>
  <c r="BA42" i="4"/>
  <c r="AV44" i="4"/>
  <c r="AZ45" i="4"/>
  <c r="AZ46" i="4"/>
  <c r="AV48" i="4"/>
  <c r="R50" i="4"/>
  <c r="J54" i="4"/>
  <c r="Z52" i="4"/>
  <c r="AT8" i="4"/>
  <c r="AX9" i="4"/>
  <c r="BB10" i="4"/>
  <c r="AT11" i="4"/>
  <c r="AF12" i="4"/>
  <c r="AW12" i="4"/>
  <c r="BA13" i="4"/>
  <c r="AV15" i="4"/>
  <c r="AZ16" i="4"/>
  <c r="BC18" i="4"/>
  <c r="AU19" i="4"/>
  <c r="AY20" i="4"/>
  <c r="BC21" i="4"/>
  <c r="AU22" i="4"/>
  <c r="AY23" i="4"/>
  <c r="AT25" i="4"/>
  <c r="AX26" i="4"/>
  <c r="BA27" i="4"/>
  <c r="AF31" i="4"/>
  <c r="AW31" i="4"/>
  <c r="AZ32" i="4"/>
  <c r="AV34" i="4"/>
  <c r="AZ35" i="4"/>
  <c r="AV37" i="4"/>
  <c r="AZ38" i="4"/>
  <c r="BC39" i="4"/>
  <c r="AU40" i="4"/>
  <c r="AX41" i="4"/>
  <c r="BB42" i="4"/>
  <c r="AT43" i="4"/>
  <c r="AF44" i="4"/>
  <c r="AW44" i="4"/>
  <c r="BA45" i="4"/>
  <c r="BA46" i="4"/>
  <c r="AF48" i="4"/>
  <c r="AW48" i="4"/>
  <c r="F50" i="4"/>
  <c r="AF15" i="4"/>
  <c r="AF34" i="4"/>
  <c r="AF37" i="4"/>
  <c r="AF7" i="4"/>
  <c r="AX7" i="4"/>
  <c r="N50" i="4"/>
  <c r="Z50" i="4"/>
  <c r="N53" i="4"/>
  <c r="Z53" i="4"/>
  <c r="AZ7" i="4"/>
  <c r="BA7" i="4"/>
  <c r="N54" i="4"/>
  <c r="Z54" i="4"/>
  <c r="BB7" i="4"/>
  <c r="N51" i="4"/>
  <c r="Z51" i="4"/>
  <c r="BE7" i="4"/>
  <c r="N52" i="4"/>
  <c r="AT7" i="4"/>
  <c r="AU7" i="4"/>
  <c r="AW7" i="4"/>
  <c r="AE42" i="3"/>
  <c r="AE16" i="3"/>
  <c r="AE43" i="3"/>
  <c r="BG12" i="3"/>
  <c r="BG25" i="3"/>
  <c r="BG39" i="3"/>
  <c r="BE18" i="3"/>
  <c r="BG20" i="3"/>
  <c r="BE32" i="3"/>
  <c r="BG34" i="3"/>
  <c r="BE44" i="3"/>
  <c r="BE48" i="1"/>
  <c r="BE45" i="1"/>
  <c r="BE41" i="1"/>
  <c r="BG35" i="1"/>
  <c r="BG23" i="1"/>
  <c r="BE21" i="1"/>
  <c r="BG18" i="1"/>
  <c r="BE13" i="1"/>
  <c r="BE10" i="1"/>
  <c r="AE7" i="1"/>
  <c r="BE46" i="1"/>
  <c r="BG44" i="1"/>
  <c r="BE38" i="1"/>
  <c r="BE33" i="1"/>
  <c r="BG26" i="1"/>
  <c r="BG48" i="1"/>
  <c r="BG41" i="1"/>
  <c r="BG40" i="1"/>
  <c r="BG38" i="1"/>
  <c r="BG21" i="1"/>
  <c r="BG10" i="1"/>
  <c r="BE8" i="1"/>
  <c r="BE36" i="1"/>
  <c r="BE24" i="1"/>
  <c r="BE19" i="1"/>
  <c r="BG13" i="1"/>
  <c r="BG46" i="1"/>
  <c r="BE42" i="1"/>
  <c r="BG24" i="1"/>
  <c r="BG8" i="1"/>
  <c r="BG43" i="1"/>
  <c r="BE22" i="1"/>
  <c r="BE14" i="1"/>
  <c r="BE11" i="1"/>
  <c r="BE47" i="1"/>
  <c r="BE44" i="1"/>
  <c r="BG42" i="1"/>
  <c r="BE39" i="1"/>
  <c r="BG36" i="1"/>
  <c r="BG27" i="1"/>
  <c r="BG11" i="1"/>
  <c r="BE9" i="1"/>
  <c r="BG47" i="1"/>
  <c r="BE40" i="1"/>
  <c r="BE37" i="1"/>
  <c r="BG34" i="1"/>
  <c r="BE32" i="1"/>
  <c r="BE29" i="1"/>
  <c r="BE25" i="1"/>
  <c r="BG22" i="1"/>
  <c r="BG14" i="1"/>
  <c r="BG16" i="1"/>
  <c r="BG7" i="1"/>
  <c r="BG39" i="1"/>
  <c r="BG25" i="1"/>
  <c r="BG12" i="1"/>
  <c r="BG29" i="1"/>
  <c r="BG15" i="1"/>
  <c r="AE23" i="1"/>
  <c r="AE31" i="1"/>
  <c r="AE27" i="1"/>
  <c r="AE32" i="1"/>
  <c r="AE41" i="1"/>
  <c r="AE44" i="1"/>
  <c r="AE9" i="1"/>
  <c r="AE14" i="1"/>
  <c r="AE8" i="1"/>
  <c r="AE43" i="1"/>
  <c r="AE22" i="1"/>
  <c r="AE16" i="1"/>
  <c r="AE18" i="1"/>
  <c r="AE21" i="1"/>
  <c r="AE35" i="1"/>
  <c r="AE36" i="1"/>
  <c r="AE46" i="1"/>
  <c r="AE37" i="1"/>
  <c r="AE47" i="1"/>
  <c r="AE10" i="1"/>
  <c r="AE11" i="1"/>
  <c r="AE24" i="1"/>
  <c r="AE38" i="1"/>
  <c r="AE12" i="1"/>
  <c r="AE25" i="1"/>
  <c r="AE39" i="1"/>
  <c r="AE13" i="1"/>
  <c r="AE26" i="1"/>
  <c r="AE40" i="1"/>
  <c r="AE15" i="1"/>
  <c r="AE29" i="1"/>
  <c r="AE42" i="1"/>
  <c r="AE19" i="1"/>
  <c r="AE33" i="1"/>
  <c r="AE45" i="1"/>
  <c r="AE20" i="1"/>
  <c r="AE34" i="1"/>
  <c r="AE30" i="4" l="1"/>
  <c r="BF30" i="4"/>
  <c r="BD30" i="4"/>
  <c r="BD17" i="4"/>
  <c r="AE17" i="4"/>
  <c r="BF17" i="4"/>
  <c r="BD37" i="4"/>
  <c r="BF25" i="4"/>
  <c r="BD9" i="4"/>
  <c r="BD27" i="4"/>
  <c r="BD45" i="4"/>
  <c r="AE25" i="4"/>
  <c r="BD31" i="4"/>
  <c r="BD26" i="4"/>
  <c r="AE19" i="4"/>
  <c r="BD44" i="4"/>
  <c r="AE42" i="4"/>
  <c r="BF8" i="4"/>
  <c r="BD34" i="4"/>
  <c r="BF22" i="4"/>
  <c r="AE43" i="4"/>
  <c r="AE35" i="4"/>
  <c r="BD48" i="4"/>
  <c r="BD12" i="4"/>
  <c r="AE14" i="4"/>
  <c r="BF29" i="4"/>
  <c r="BF31" i="4"/>
  <c r="AE37" i="4"/>
  <c r="BD42" i="4"/>
  <c r="BF47" i="4"/>
  <c r="BD33" i="4"/>
  <c r="BF40" i="4"/>
  <c r="BF34" i="4"/>
  <c r="AE22" i="4"/>
  <c r="AE46" i="4"/>
  <c r="BF44" i="4"/>
  <c r="BF45" i="4"/>
  <c r="BD35" i="4"/>
  <c r="AE23" i="4"/>
  <c r="BD13" i="4"/>
  <c r="AE31" i="4"/>
  <c r="BF23" i="4"/>
  <c r="AE32" i="4"/>
  <c r="BD47" i="4"/>
  <c r="AE27" i="4"/>
  <c r="BD25" i="4"/>
  <c r="BD41" i="4"/>
  <c r="BD22" i="4"/>
  <c r="BF15" i="4"/>
  <c r="BD20" i="4"/>
  <c r="AE34" i="4"/>
  <c r="BD46" i="4"/>
  <c r="BD29" i="4"/>
  <c r="BD10" i="4"/>
  <c r="BD24" i="4"/>
  <c r="BF24" i="4"/>
  <c r="AE21" i="4"/>
  <c r="BF12" i="4"/>
  <c r="AE38" i="4"/>
  <c r="BF9" i="4"/>
  <c r="BF35" i="4"/>
  <c r="AE39" i="4"/>
  <c r="AE11" i="4"/>
  <c r="AE41" i="4"/>
  <c r="BF20" i="4"/>
  <c r="BF46" i="4"/>
  <c r="BD43" i="4"/>
  <c r="AE29" i="4"/>
  <c r="AE40" i="4"/>
  <c r="BD32" i="4"/>
  <c r="BF26" i="4"/>
  <c r="BF16" i="4"/>
  <c r="BF27" i="4"/>
  <c r="AE36" i="4"/>
  <c r="BD11" i="4"/>
  <c r="BD19" i="4"/>
  <c r="AE12" i="4"/>
  <c r="BF48" i="4"/>
  <c r="BF33" i="4"/>
  <c r="BD21" i="4"/>
  <c r="AE10" i="4"/>
  <c r="AE13" i="4"/>
  <c r="BF21" i="4"/>
  <c r="AE18" i="4"/>
  <c r="AE44" i="4"/>
  <c r="BD14" i="4"/>
  <c r="BF32" i="4"/>
  <c r="AE20" i="4"/>
  <c r="AE16" i="4"/>
  <c r="AE45" i="4"/>
  <c r="AE9" i="4"/>
  <c r="AE15" i="4"/>
  <c r="AE33" i="4"/>
  <c r="AE8" i="4"/>
  <c r="BD36" i="4"/>
  <c r="BD15" i="4"/>
  <c r="AE47" i="4"/>
  <c r="BD40" i="4"/>
  <c r="BF11" i="4"/>
  <c r="BF37" i="4"/>
  <c r="BD38" i="4"/>
  <c r="BD16" i="4"/>
  <c r="AE26" i="4"/>
  <c r="AE24" i="4"/>
  <c r="BF19" i="4"/>
  <c r="BD8" i="4"/>
  <c r="BF36" i="4"/>
  <c r="BD23" i="4"/>
  <c r="BD39" i="4"/>
  <c r="BD18" i="4"/>
  <c r="BF10" i="4"/>
  <c r="BF39" i="4"/>
  <c r="BF18" i="4"/>
  <c r="BF14" i="4"/>
  <c r="AE48" i="4"/>
  <c r="BF41" i="4"/>
  <c r="BF38" i="4"/>
  <c r="BF42" i="4"/>
  <c r="BF13" i="4"/>
  <c r="BF43" i="4"/>
  <c r="AE7" i="4"/>
  <c r="BD7" i="4"/>
  <c r="BF7" i="4"/>
  <c r="BG7" i="3"/>
  <c r="BE7" i="3"/>
  <c r="AE7" i="3"/>
</calcChain>
</file>

<file path=xl/sharedStrings.xml><?xml version="1.0" encoding="utf-8"?>
<sst xmlns="http://schemas.openxmlformats.org/spreadsheetml/2006/main" count="2515" uniqueCount="101">
  <si>
    <t xml:space="preserve">                                                                                                             </t>
    <phoneticPr fontId="5" type="noConversion"/>
  </si>
  <si>
    <t>간호사 38(파트장포함)</t>
    <phoneticPr fontId="1" type="noConversion"/>
  </si>
  <si>
    <t xml:space="preserve">                                                                                                             </t>
  </si>
  <si>
    <t>총</t>
  </si>
  <si>
    <t>비고</t>
    <phoneticPr fontId="1" type="noConversion"/>
  </si>
  <si>
    <t>OFF</t>
  </si>
  <si>
    <t>N</t>
  </si>
  <si>
    <t>주</t>
  </si>
  <si>
    <t>특휴</t>
  </si>
  <si>
    <t>경가</t>
  </si>
  <si>
    <t>병가</t>
  </si>
  <si>
    <t>공</t>
  </si>
  <si>
    <t>생휴</t>
  </si>
  <si>
    <t>법휴</t>
  </si>
  <si>
    <t>VAC</t>
  </si>
  <si>
    <t>수면</t>
  </si>
  <si>
    <t>주휴</t>
  </si>
  <si>
    <t>OFF계</t>
  </si>
  <si>
    <t xml:space="preserve">병가,OFF,공휴 포함 </t>
  </si>
  <si>
    <t>이경희</t>
  </si>
  <si>
    <t>D</t>
  </si>
  <si>
    <t>오선영</t>
  </si>
  <si>
    <t>우영미</t>
  </si>
  <si>
    <t>전상배</t>
  </si>
  <si>
    <t>안일심</t>
  </si>
  <si>
    <t>E</t>
  </si>
  <si>
    <t>조은애</t>
  </si>
  <si>
    <t>우혜린</t>
  </si>
  <si>
    <t>유지연</t>
  </si>
  <si>
    <t>서희정</t>
  </si>
  <si>
    <t>김도연</t>
  </si>
  <si>
    <t>전선영</t>
  </si>
  <si>
    <t>이은지</t>
  </si>
  <si>
    <t>박동희</t>
  </si>
  <si>
    <t>김효선</t>
  </si>
  <si>
    <t>김소원</t>
  </si>
  <si>
    <t>최민정</t>
  </si>
  <si>
    <t>차승현</t>
  </si>
  <si>
    <t>강라원</t>
  </si>
  <si>
    <t>허란</t>
  </si>
  <si>
    <t>이유진</t>
  </si>
  <si>
    <t>이창성</t>
  </si>
  <si>
    <t>백지선</t>
  </si>
  <si>
    <t>정진우</t>
  </si>
  <si>
    <t>김민아</t>
  </si>
  <si>
    <t>장미선</t>
  </si>
  <si>
    <t>최다희</t>
  </si>
  <si>
    <t>신성민</t>
  </si>
  <si>
    <t>박준영</t>
    <phoneticPr fontId="1" type="noConversion"/>
  </si>
  <si>
    <t>홍시호</t>
    <phoneticPr fontId="1" type="noConversion"/>
  </si>
  <si>
    <t>손수연</t>
    <phoneticPr fontId="1" type="noConversion"/>
  </si>
  <si>
    <t>김현진</t>
    <phoneticPr fontId="1" type="noConversion"/>
  </si>
  <si>
    <t>설희원</t>
    <phoneticPr fontId="1" type="noConversion"/>
  </si>
  <si>
    <t>중</t>
  </si>
  <si>
    <t>중2</t>
  </si>
  <si>
    <t>근무표 변경시 파트장에게 확인받고 변경해주세요
공지된 후 변경된 근무표는 초록색으로 변경하겠습니다.
공지 된 이후에 근무표 변경은 지양해주시길 바랍니다.</t>
    <phoneticPr fontId="1" type="noConversion"/>
  </si>
  <si>
    <t>근무표 변경시 파트장에게 확인받고 변경해주세요
확정된 근무표의 변경은 지양해주시길 바랍니다.
근무표 변경시 되도록 동일한 그룹내에서 변경해주세요</t>
    <phoneticPr fontId="1" type="noConversion"/>
  </si>
  <si>
    <t>일</t>
  </si>
  <si>
    <t>월</t>
    <phoneticPr fontId="5" type="noConversion"/>
  </si>
  <si>
    <t>화</t>
  </si>
  <si>
    <t>수</t>
  </si>
  <si>
    <t>목</t>
  </si>
  <si>
    <t>금</t>
  </si>
  <si>
    <t>토</t>
  </si>
  <si>
    <t>월</t>
  </si>
  <si>
    <t>주</t>
    <phoneticPr fontId="1" type="noConversion"/>
  </si>
  <si>
    <t>D</t>
    <phoneticPr fontId="1" type="noConversion"/>
  </si>
  <si>
    <t>E</t>
    <phoneticPr fontId="1" type="noConversion"/>
  </si>
  <si>
    <t>배수영</t>
    <phoneticPr fontId="1" type="noConversion"/>
  </si>
  <si>
    <t>생휴</t>
    <phoneticPr fontId="1" type="noConversion"/>
  </si>
  <si>
    <t>김윤정</t>
    <phoneticPr fontId="1" type="noConversion"/>
  </si>
  <si>
    <t>우경희</t>
    <phoneticPr fontId="1" type="noConversion"/>
  </si>
  <si>
    <t>김은지</t>
    <phoneticPr fontId="1" type="noConversion"/>
  </si>
  <si>
    <t>심승현</t>
    <phoneticPr fontId="1" type="noConversion"/>
  </si>
  <si>
    <t>한소연</t>
    <phoneticPr fontId="1" type="noConversion"/>
  </si>
  <si>
    <t>황지현</t>
    <phoneticPr fontId="1" type="noConversion"/>
  </si>
  <si>
    <t>박병호</t>
    <phoneticPr fontId="1" type="noConversion"/>
  </si>
  <si>
    <t>김현빈</t>
    <phoneticPr fontId="1" type="noConversion"/>
  </si>
  <si>
    <t>토</t>
    <phoneticPr fontId="1" type="noConversion"/>
  </si>
  <si>
    <t>출산</t>
    <phoneticPr fontId="1" type="noConversion"/>
  </si>
  <si>
    <t>N</t>
    <phoneticPr fontId="1" type="noConversion"/>
  </si>
  <si>
    <t>VAC</t>
    <phoneticPr fontId="1" type="noConversion"/>
  </si>
  <si>
    <t>OFF</t>
    <phoneticPr fontId="1" type="noConversion"/>
  </si>
  <si>
    <t>번표</t>
    <phoneticPr fontId="1" type="noConversion"/>
  </si>
  <si>
    <t>특휴</t>
    <phoneticPr fontId="1" type="noConversion"/>
  </si>
  <si>
    <t>송은지</t>
    <phoneticPr fontId="1" type="noConversion"/>
  </si>
  <si>
    <t>off</t>
  </si>
  <si>
    <t>휴가</t>
  </si>
  <si>
    <t>휴가</t>
    <phoneticPr fontId="1" type="noConversion"/>
  </si>
  <si>
    <t>off</t>
    <phoneticPr fontId="1" type="noConversion"/>
  </si>
  <si>
    <t>수면12</t>
  </si>
  <si>
    <t>중2</t>
    <phoneticPr fontId="1" type="noConversion"/>
  </si>
  <si>
    <t>수면(11&amp;12)</t>
  </si>
  <si>
    <t>수면(12월)</t>
  </si>
  <si>
    <t>12월 수면</t>
  </si>
  <si>
    <t>수면12</t>
    <phoneticPr fontId="1" type="noConversion"/>
  </si>
  <si>
    <t>경가</t>
    <phoneticPr fontId="1" type="noConversion"/>
  </si>
  <si>
    <t>12월수면</t>
    <phoneticPr fontId="1" type="noConversion"/>
  </si>
  <si>
    <t>2026.01.04._26.01.31.</t>
    <phoneticPr fontId="1" type="noConversion"/>
  </si>
  <si>
    <t>수면(!2월)</t>
  </si>
  <si>
    <t>수면01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</si>
</sst>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6"/>
      <color rgb="FF000000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8"/>
      <color rgb="FF000000"/>
      <name val="나눔고딕"/>
      <family val="3"/>
      <charset val="129"/>
    </font>
    <font>
      <sz val="6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6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나눔고딕"/>
      <family val="3"/>
      <charset val="129"/>
    </font>
    <font>
      <sz val="10"/>
      <color rgb="FF000000"/>
      <name val="새굴림"/>
      <family val="1"/>
      <charset val="129"/>
    </font>
    <font>
      <sz val="9"/>
      <color rgb="FF000000"/>
      <name val="새굴림"/>
      <family val="1"/>
      <charset val="129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C0000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1"/>
      <color rgb="FF000000"/>
      <name val="새굴림"/>
      <family val="1"/>
      <charset val="129"/>
    </font>
    <font>
      <sz val="11"/>
      <color rgb="FF000000"/>
      <name val="나눔고딕"/>
      <family val="3"/>
      <charset val="129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u/>
      <sz val="18"/>
      <color rgb="FFC00000"/>
      <name val="맑은 고딕"/>
      <family val="3"/>
      <charset val="129"/>
      <scheme val="minor"/>
    </font>
    <font>
      <sz val="18"/>
      <color rgb="FFC00000"/>
      <name val="맑은 고딕"/>
      <family val="3"/>
      <charset val="129"/>
      <scheme val="minor"/>
    </font>
    <font>
      <sz val="5"/>
      <color rgb="FFFF0000"/>
      <name val="맑은 고딕"/>
      <family val="3"/>
      <charset val="129"/>
    </font>
    <font>
      <b/>
      <sz val="6"/>
      <color rgb="FF000000"/>
      <name val="맑은 고딕"/>
      <family val="3"/>
      <charset val="129"/>
    </font>
    <font>
      <b/>
      <sz val="5"/>
      <color rgb="FFFF0000"/>
      <name val="맑은 고딕"/>
      <family val="3"/>
      <charset val="129"/>
    </font>
    <font>
      <sz val="5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"/>
      <color rgb="FFFF0000"/>
      <name val="새굴림"/>
      <family val="1"/>
      <charset val="129"/>
    </font>
    <font>
      <b/>
      <sz val="14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name val="새굴림"/>
      <family val="1"/>
      <charset val="129"/>
    </font>
  </fonts>
  <fills count="17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C9C9C9"/>
        <bgColor rgb="FF000000"/>
      </patternFill>
    </fill>
    <fill>
      <patternFill patternType="solid">
        <fgColor rgb="FFFCD5B5"/>
        <bgColor rgb="FFFFFFFF"/>
      </patternFill>
    </fill>
    <fill>
      <patternFill patternType="solid">
        <fgColor rgb="FFC55A11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 diagonalUp="1" diagonalDown="1"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/>
      <top/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403">
    <xf numFmtId="0" fontId="0" fillId="0" borderId="0" xfId="0">
      <alignment vertical="center"/>
    </xf>
    <xf numFmtId="0" fontId="3" fillId="0" borderId="0" xfId="2">
      <alignment vertical="center"/>
    </xf>
    <xf numFmtId="0" fontId="4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1" xfId="2" applyFont="1" applyBorder="1">
      <alignment vertical="center"/>
    </xf>
    <xf numFmtId="0" fontId="8" fillId="0" borderId="1" xfId="2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4" fillId="0" borderId="0" xfId="1" applyFont="1" applyAlignment="1">
      <alignment horizontal="center"/>
    </xf>
    <xf numFmtId="0" fontId="14" fillId="0" borderId="0" xfId="1" applyFont="1" applyAlignment="1">
      <alignment horizontal="left"/>
    </xf>
    <xf numFmtId="0" fontId="15" fillId="0" borderId="0" xfId="1" applyFont="1" applyAlignment="1">
      <alignment horizontal="center"/>
    </xf>
    <xf numFmtId="0" fontId="16" fillId="0" borderId="0" xfId="1" applyFont="1" applyAlignment="1">
      <alignment horizontal="center"/>
    </xf>
    <xf numFmtId="0" fontId="4" fillId="0" borderId="4" xfId="1" applyFont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2" fillId="0" borderId="0" xfId="1" applyFont="1" applyAlignment="1">
      <alignment horizontal="left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1" fillId="5" borderId="24" xfId="1" applyFont="1" applyFill="1" applyBorder="1" applyAlignment="1">
      <alignment horizontal="center" vertical="center"/>
    </xf>
    <xf numFmtId="0" fontId="24" fillId="0" borderId="0" xfId="1" applyFont="1" applyBorder="1" applyAlignment="1">
      <alignment horizontal="center"/>
    </xf>
    <xf numFmtId="0" fontId="25" fillId="5" borderId="28" xfId="1" applyFont="1" applyFill="1" applyBorder="1" applyAlignment="1">
      <alignment horizontal="center" vertical="center"/>
    </xf>
    <xf numFmtId="0" fontId="13" fillId="3" borderId="5" xfId="1" applyFont="1" applyFill="1" applyBorder="1" applyAlignment="1">
      <alignment horizontal="center" vertical="center" shrinkToFit="1"/>
    </xf>
    <xf numFmtId="0" fontId="13" fillId="3" borderId="6" xfId="1" applyFont="1" applyFill="1" applyBorder="1" applyAlignment="1">
      <alignment horizontal="center" vertical="center" shrinkToFit="1"/>
    </xf>
    <xf numFmtId="0" fontId="20" fillId="0" borderId="28" xfId="1" applyFont="1" applyBorder="1" applyAlignment="1">
      <alignment horizontal="center" vertical="center" shrinkToFit="1"/>
    </xf>
    <xf numFmtId="0" fontId="20" fillId="0" borderId="10" xfId="1" applyFont="1" applyBorder="1" applyAlignment="1">
      <alignment horizontal="center" vertical="center" shrinkToFit="1"/>
    </xf>
    <xf numFmtId="0" fontId="24" fillId="0" borderId="9" xfId="1" applyFont="1" applyBorder="1" applyAlignment="1">
      <alignment horizontal="center"/>
    </xf>
    <xf numFmtId="0" fontId="24" fillId="0" borderId="6" xfId="1" applyFont="1" applyBorder="1" applyAlignment="1">
      <alignment horizontal="center"/>
    </xf>
    <xf numFmtId="0" fontId="24" fillId="0" borderId="8" xfId="1" applyFont="1" applyBorder="1" applyAlignment="1">
      <alignment horizontal="center"/>
    </xf>
    <xf numFmtId="0" fontId="15" fillId="8" borderId="0" xfId="1" applyFont="1" applyFill="1" applyAlignment="1">
      <alignment horizontal="center"/>
    </xf>
    <xf numFmtId="0" fontId="15" fillId="9" borderId="0" xfId="1" applyFont="1" applyFill="1" applyAlignment="1">
      <alignment horizontal="center"/>
    </xf>
    <xf numFmtId="0" fontId="25" fillId="5" borderId="12" xfId="1" applyFont="1" applyFill="1" applyBorder="1" applyAlignment="1">
      <alignment horizontal="center" vertical="center"/>
    </xf>
    <xf numFmtId="0" fontId="13" fillId="3" borderId="13" xfId="1" applyFont="1" applyFill="1" applyBorder="1" applyAlignment="1">
      <alignment horizontal="center" vertical="center" shrinkToFit="1"/>
    </xf>
    <xf numFmtId="0" fontId="13" fillId="3" borderId="14" xfId="1" applyFont="1" applyFill="1" applyBorder="1" applyAlignment="1">
      <alignment horizontal="center" vertical="center" shrinkToFit="1"/>
    </xf>
    <xf numFmtId="0" fontId="13" fillId="3" borderId="15" xfId="1" applyFont="1" applyFill="1" applyBorder="1" applyAlignment="1">
      <alignment horizontal="center" vertical="center" shrinkToFit="1"/>
    </xf>
    <xf numFmtId="0" fontId="20" fillId="0" borderId="12" xfId="1" applyFont="1" applyBorder="1" applyAlignment="1">
      <alignment horizontal="center" vertical="center" shrinkToFit="1"/>
    </xf>
    <xf numFmtId="0" fontId="20" fillId="0" borderId="31" xfId="1" applyFont="1" applyBorder="1" applyAlignment="1">
      <alignment horizontal="center" vertical="center" shrinkToFit="1"/>
    </xf>
    <xf numFmtId="0" fontId="20" fillId="0" borderId="31" xfId="1" applyFont="1" applyBorder="1" applyAlignment="1">
      <alignment horizontal="center" vertical="center"/>
    </xf>
    <xf numFmtId="0" fontId="24" fillId="0" borderId="32" xfId="1" applyFont="1" applyBorder="1" applyAlignment="1">
      <alignment horizontal="center"/>
    </xf>
    <xf numFmtId="0" fontId="24" fillId="0" borderId="14" xfId="1" applyFont="1" applyBorder="1" applyAlignment="1">
      <alignment horizontal="center"/>
    </xf>
    <xf numFmtId="0" fontId="24" fillId="0" borderId="15" xfId="1" applyFont="1" applyBorder="1" applyAlignment="1">
      <alignment horizontal="center"/>
    </xf>
    <xf numFmtId="0" fontId="25" fillId="2" borderId="30" xfId="1" applyFont="1" applyFill="1" applyBorder="1" applyAlignment="1">
      <alignment horizontal="center" vertical="center"/>
    </xf>
    <xf numFmtId="0" fontId="25" fillId="2" borderId="12" xfId="1" applyFont="1" applyFill="1" applyBorder="1" applyAlignment="1">
      <alignment horizontal="center" vertical="center"/>
    </xf>
    <xf numFmtId="0" fontId="25" fillId="2" borderId="33" xfId="1" applyFont="1" applyFill="1" applyBorder="1" applyAlignment="1">
      <alignment horizontal="center" vertical="center"/>
    </xf>
    <xf numFmtId="0" fontId="24" fillId="10" borderId="14" xfId="1" applyFont="1" applyFill="1" applyBorder="1" applyAlignment="1">
      <alignment horizontal="center"/>
    </xf>
    <xf numFmtId="0" fontId="25" fillId="5" borderId="16" xfId="1" applyFont="1" applyFill="1" applyBorder="1" applyAlignment="1">
      <alignment horizontal="center" vertical="center"/>
    </xf>
    <xf numFmtId="0" fontId="20" fillId="0" borderId="34" xfId="1" applyFont="1" applyBorder="1" applyAlignment="1">
      <alignment horizontal="center" vertical="center" shrinkToFit="1"/>
    </xf>
    <xf numFmtId="0" fontId="20" fillId="0" borderId="36" xfId="1" applyFont="1" applyBorder="1" applyAlignment="1">
      <alignment horizontal="center" vertical="center" shrinkToFit="1"/>
    </xf>
    <xf numFmtId="0" fontId="25" fillId="0" borderId="20" xfId="1" applyFont="1" applyBorder="1" applyAlignment="1">
      <alignment horizontal="center" vertical="center"/>
    </xf>
    <xf numFmtId="0" fontId="13" fillId="3" borderId="22" xfId="1" applyFont="1" applyFill="1" applyBorder="1" applyAlignment="1">
      <alignment horizontal="center" vertical="center" shrinkToFit="1"/>
    </xf>
    <xf numFmtId="0" fontId="13" fillId="3" borderId="21" xfId="1" applyFont="1" applyFill="1" applyBorder="1" applyAlignment="1">
      <alignment horizontal="center" vertical="center" shrinkToFit="1"/>
    </xf>
    <xf numFmtId="0" fontId="13" fillId="3" borderId="23" xfId="1" applyFont="1" applyFill="1" applyBorder="1" applyAlignment="1">
      <alignment horizontal="center" vertical="center" shrinkToFit="1"/>
    </xf>
    <xf numFmtId="0" fontId="20" fillId="0" borderId="20" xfId="1" applyFont="1" applyBorder="1" applyAlignment="1">
      <alignment horizontal="center" vertical="center" shrinkToFit="1"/>
    </xf>
    <xf numFmtId="0" fontId="24" fillId="0" borderId="39" xfId="1" applyFont="1" applyBorder="1" applyAlignment="1">
      <alignment horizontal="center"/>
    </xf>
    <xf numFmtId="0" fontId="24" fillId="0" borderId="22" xfId="1" applyFont="1" applyBorder="1" applyAlignment="1">
      <alignment horizontal="center"/>
    </xf>
    <xf numFmtId="0" fontId="24" fillId="0" borderId="23" xfId="1" applyFont="1" applyBorder="1" applyAlignment="1">
      <alignment horizontal="center"/>
    </xf>
    <xf numFmtId="0" fontId="13" fillId="3" borderId="8" xfId="1" applyFont="1" applyFill="1" applyBorder="1" applyAlignment="1">
      <alignment horizontal="center" vertical="center" shrinkToFit="1"/>
    </xf>
    <xf numFmtId="0" fontId="13" fillId="3" borderId="42" xfId="1" applyFont="1" applyFill="1" applyBorder="1" applyAlignment="1">
      <alignment horizontal="center" vertical="center" shrinkToFit="1"/>
    </xf>
    <xf numFmtId="0" fontId="24" fillId="0" borderId="41" xfId="1" applyFont="1" applyFill="1" applyBorder="1" applyAlignment="1">
      <alignment horizontal="center"/>
    </xf>
    <xf numFmtId="0" fontId="24" fillId="0" borderId="6" xfId="1" applyFont="1" applyFill="1" applyBorder="1" applyAlignment="1">
      <alignment horizontal="center"/>
    </xf>
    <xf numFmtId="0" fontId="24" fillId="0" borderId="42" xfId="1" applyFont="1" applyFill="1" applyBorder="1" applyAlignment="1">
      <alignment horizontal="center"/>
    </xf>
    <xf numFmtId="0" fontId="24" fillId="0" borderId="43" xfId="1" applyFont="1" applyFill="1" applyBorder="1" applyAlignment="1">
      <alignment horizontal="center"/>
    </xf>
    <xf numFmtId="0" fontId="13" fillId="3" borderId="32" xfId="1" applyFont="1" applyFill="1" applyBorder="1" applyAlignment="1">
      <alignment horizontal="center" vertical="center" shrinkToFit="1"/>
    </xf>
    <xf numFmtId="0" fontId="25" fillId="0" borderId="12" xfId="1" applyFont="1" applyBorder="1" applyAlignment="1">
      <alignment horizontal="center" vertical="center"/>
    </xf>
    <xf numFmtId="0" fontId="25" fillId="3" borderId="12" xfId="1" applyFont="1" applyFill="1" applyBorder="1" applyAlignment="1">
      <alignment horizontal="center" vertical="center"/>
    </xf>
    <xf numFmtId="0" fontId="20" fillId="0" borderId="33" xfId="1" applyFont="1" applyBorder="1" applyAlignment="1">
      <alignment horizontal="center" vertical="center" shrinkToFit="1"/>
    </xf>
    <xf numFmtId="0" fontId="24" fillId="0" borderId="41" xfId="1" applyFont="1" applyBorder="1" applyAlignment="1">
      <alignment horizontal="center"/>
    </xf>
    <xf numFmtId="0" fontId="24" fillId="0" borderId="47" xfId="1" applyFont="1" applyBorder="1" applyAlignment="1">
      <alignment horizontal="center"/>
    </xf>
    <xf numFmtId="0" fontId="24" fillId="0" borderId="42" xfId="1" applyFont="1" applyBorder="1" applyAlignment="1">
      <alignment horizontal="center"/>
    </xf>
    <xf numFmtId="0" fontId="24" fillId="0" borderId="43" xfId="1" applyFont="1" applyBorder="1" applyAlignment="1">
      <alignment horizontal="center"/>
    </xf>
    <xf numFmtId="0" fontId="25" fillId="3" borderId="20" xfId="1" applyFont="1" applyFill="1" applyBorder="1" applyAlignment="1">
      <alignment horizontal="center" vertical="center"/>
    </xf>
    <xf numFmtId="0" fontId="13" fillId="3" borderId="45" xfId="1" applyFont="1" applyFill="1" applyBorder="1" applyAlignment="1">
      <alignment horizontal="center" vertical="center" shrinkToFit="1"/>
    </xf>
    <xf numFmtId="0" fontId="20" fillId="0" borderId="20" xfId="1" applyFont="1" applyFill="1" applyBorder="1" applyAlignment="1">
      <alignment horizontal="center" vertical="center" shrinkToFit="1"/>
    </xf>
    <xf numFmtId="0" fontId="25" fillId="3" borderId="37" xfId="1" applyFont="1" applyFill="1" applyBorder="1" applyAlignment="1">
      <alignment horizontal="center" vertical="center"/>
    </xf>
    <xf numFmtId="0" fontId="13" fillId="3" borderId="52" xfId="1" applyFont="1" applyFill="1" applyBorder="1" applyAlignment="1">
      <alignment horizontal="center" vertical="center" shrinkToFit="1"/>
    </xf>
    <xf numFmtId="0" fontId="24" fillId="11" borderId="32" xfId="1" applyFont="1" applyFill="1" applyBorder="1" applyAlignment="1">
      <alignment horizontal="center"/>
    </xf>
    <xf numFmtId="0" fontId="24" fillId="11" borderId="14" xfId="1" applyFont="1" applyFill="1" applyBorder="1" applyAlignment="1">
      <alignment horizontal="center"/>
    </xf>
    <xf numFmtId="0" fontId="24" fillId="11" borderId="15" xfId="1" applyFont="1" applyFill="1" applyBorder="1" applyAlignment="1">
      <alignment horizontal="center"/>
    </xf>
    <xf numFmtId="0" fontId="20" fillId="0" borderId="20" xfId="1" applyFont="1" applyBorder="1" applyAlignment="1">
      <alignment horizontal="center" vertical="center"/>
    </xf>
    <xf numFmtId="0" fontId="24" fillId="11" borderId="39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25" fillId="3" borderId="16" xfId="1" applyFont="1" applyFill="1" applyBorder="1" applyAlignment="1">
      <alignment horizontal="center" vertical="center"/>
    </xf>
    <xf numFmtId="0" fontId="25" fillId="0" borderId="59" xfId="1" applyFont="1" applyBorder="1" applyAlignment="1">
      <alignment horizontal="center" vertical="center"/>
    </xf>
    <xf numFmtId="0" fontId="15" fillId="3" borderId="0" xfId="1" applyFont="1" applyFill="1" applyAlignment="1">
      <alignment horizontal="center" vertical="center" shrinkToFit="1"/>
    </xf>
    <xf numFmtId="0" fontId="27" fillId="3" borderId="0" xfId="1" applyFont="1" applyFill="1" applyAlignment="1">
      <alignment horizontal="center" vertical="center" shrinkToFit="1"/>
    </xf>
    <xf numFmtId="0" fontId="15" fillId="3" borderId="59" xfId="1" applyFont="1" applyFill="1" applyBorder="1" applyAlignment="1">
      <alignment horizontal="center" vertical="center" shrinkToFit="1"/>
    </xf>
    <xf numFmtId="0" fontId="28" fillId="3" borderId="0" xfId="1" applyFont="1" applyFill="1" applyAlignment="1">
      <alignment horizontal="center" vertical="center" shrinkToFit="1"/>
    </xf>
    <xf numFmtId="0" fontId="29" fillId="7" borderId="0" xfId="1" applyFont="1" applyFill="1" applyAlignment="1">
      <alignment horizontal="center"/>
    </xf>
    <xf numFmtId="0" fontId="30" fillId="7" borderId="0" xfId="1" applyFont="1" applyFill="1" applyAlignment="1">
      <alignment horizontal="center"/>
    </xf>
    <xf numFmtId="0" fontId="3" fillId="7" borderId="0" xfId="2" applyFill="1">
      <alignment vertical="center"/>
    </xf>
    <xf numFmtId="0" fontId="23" fillId="5" borderId="0" xfId="1" applyFont="1" applyFill="1" applyAlignment="1">
      <alignment horizontal="center"/>
    </xf>
    <xf numFmtId="0" fontId="14" fillId="7" borderId="0" xfId="1" applyFont="1" applyFill="1" applyAlignment="1">
      <alignment horizontal="center"/>
    </xf>
    <xf numFmtId="0" fontId="14" fillId="7" borderId="0" xfId="1" applyFont="1" applyFill="1" applyAlignment="1">
      <alignment horizontal="left"/>
    </xf>
    <xf numFmtId="0" fontId="0" fillId="0" borderId="0" xfId="1" applyFont="1" applyAlignment="1">
      <alignment horizontal="center"/>
    </xf>
    <xf numFmtId="0" fontId="23" fillId="5" borderId="60" xfId="1" applyFont="1" applyFill="1" applyBorder="1" applyAlignment="1">
      <alignment horizontal="center"/>
    </xf>
    <xf numFmtId="0" fontId="29" fillId="0" borderId="0" xfId="1" applyFont="1" applyAlignment="1">
      <alignment horizontal="center"/>
    </xf>
    <xf numFmtId="0" fontId="10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wrapText="1"/>
    </xf>
    <xf numFmtId="0" fontId="12" fillId="0" borderId="0" xfId="1" applyFont="1" applyBorder="1" applyAlignment="1">
      <alignment horizontal="center" wrapText="1"/>
    </xf>
    <xf numFmtId="0" fontId="20" fillId="5" borderId="0" xfId="1" applyFont="1" applyFill="1" applyBorder="1" applyAlignment="1">
      <alignment horizontal="center" vertical="center"/>
    </xf>
    <xf numFmtId="0" fontId="21" fillId="5" borderId="0" xfId="1" applyFont="1" applyFill="1" applyBorder="1" applyAlignment="1">
      <alignment horizontal="center" vertical="center"/>
    </xf>
    <xf numFmtId="0" fontId="21" fillId="0" borderId="0" xfId="1" applyFont="1" applyBorder="1" applyAlignment="1">
      <alignment horizontal="center" wrapText="1"/>
    </xf>
    <xf numFmtId="0" fontId="21" fillId="5" borderId="0" xfId="1" applyFont="1" applyFill="1" applyBorder="1" applyAlignment="1">
      <alignment horizontal="center"/>
    </xf>
    <xf numFmtId="0" fontId="20" fillId="0" borderId="0" xfId="1" applyFont="1" applyBorder="1" applyAlignment="1">
      <alignment horizontal="center" vertical="center" shrinkToFit="1"/>
    </xf>
    <xf numFmtId="0" fontId="20" fillId="0" borderId="0" xfId="1" applyFont="1" applyBorder="1" applyAlignment="1">
      <alignment horizontal="center" vertical="center"/>
    </xf>
    <xf numFmtId="0" fontId="20" fillId="0" borderId="0" xfId="1" applyFont="1" applyBorder="1" applyAlignment="1">
      <alignment horizontal="center"/>
    </xf>
    <xf numFmtId="0" fontId="20" fillId="0" borderId="0" xfId="1" applyFont="1" applyFill="1" applyBorder="1" applyAlignment="1">
      <alignment horizontal="center" vertical="center" shrinkToFit="1"/>
    </xf>
    <xf numFmtId="0" fontId="20" fillId="0" borderId="0" xfId="1" applyFont="1" applyFill="1" applyBorder="1" applyAlignment="1">
      <alignment horizontal="center" vertical="center"/>
    </xf>
    <xf numFmtId="0" fontId="20" fillId="0" borderId="0" xfId="1" applyFont="1" applyFill="1" applyBorder="1" applyAlignment="1">
      <alignment horizontal="center"/>
    </xf>
    <xf numFmtId="0" fontId="20" fillId="0" borderId="0" xfId="1" applyFont="1" applyBorder="1" applyAlignment="1">
      <alignment horizontal="center" shrinkToFit="1"/>
    </xf>
    <xf numFmtId="0" fontId="30" fillId="7" borderId="0" xfId="1" applyFont="1" applyFill="1" applyBorder="1" applyAlignment="1">
      <alignment horizontal="center"/>
    </xf>
    <xf numFmtId="0" fontId="3" fillId="7" borderId="0" xfId="2" applyFill="1" applyBorder="1">
      <alignment vertical="center"/>
    </xf>
    <xf numFmtId="0" fontId="20" fillId="5" borderId="61" xfId="1" applyFont="1" applyFill="1" applyBorder="1" applyAlignment="1">
      <alignment horizontal="center" vertical="center"/>
    </xf>
    <xf numFmtId="0" fontId="20" fillId="5" borderId="29" xfId="1" applyFont="1" applyFill="1" applyBorder="1" applyAlignment="1">
      <alignment horizontal="center" vertical="center"/>
    </xf>
    <xf numFmtId="0" fontId="20" fillId="6" borderId="16" xfId="1" applyFont="1" applyFill="1" applyBorder="1" applyAlignment="1">
      <alignment horizontal="center" vertical="center"/>
    </xf>
    <xf numFmtId="0" fontId="20" fillId="0" borderId="62" xfId="1" applyFont="1" applyBorder="1" applyAlignment="1">
      <alignment horizontal="center" vertical="center" shrinkToFit="1"/>
    </xf>
    <xf numFmtId="0" fontId="20" fillId="0" borderId="40" xfId="1" applyFont="1" applyBorder="1" applyAlignment="1">
      <alignment horizontal="center" vertical="center" shrinkToFit="1"/>
    </xf>
    <xf numFmtId="0" fontId="20" fillId="0" borderId="12" xfId="1" applyFont="1" applyFill="1" applyBorder="1" applyAlignment="1">
      <alignment horizontal="center" vertical="center" shrinkToFit="1"/>
    </xf>
    <xf numFmtId="0" fontId="20" fillId="0" borderId="16" xfId="1" applyFont="1" applyBorder="1" applyAlignment="1">
      <alignment horizontal="center" vertical="center" shrinkToFit="1"/>
    </xf>
    <xf numFmtId="0" fontId="25" fillId="5" borderId="63" xfId="1" applyFont="1" applyFill="1" applyBorder="1" applyAlignment="1">
      <alignment horizontal="center" vertical="center"/>
    </xf>
    <xf numFmtId="0" fontId="25" fillId="5" borderId="18" xfId="1" applyFont="1" applyFill="1" applyBorder="1" applyAlignment="1">
      <alignment horizontal="center" vertical="center"/>
    </xf>
    <xf numFmtId="0" fontId="25" fillId="2" borderId="18" xfId="1" applyFont="1" applyFill="1" applyBorder="1" applyAlignment="1">
      <alignment horizontal="center" vertical="center"/>
    </xf>
    <xf numFmtId="0" fontId="25" fillId="2" borderId="17" xfId="1" applyFont="1" applyFill="1" applyBorder="1" applyAlignment="1">
      <alignment horizontal="center" vertical="center"/>
    </xf>
    <xf numFmtId="0" fontId="25" fillId="5" borderId="46" xfId="1" applyFont="1" applyFill="1" applyBorder="1" applyAlignment="1">
      <alignment horizontal="center" vertical="center"/>
    </xf>
    <xf numFmtId="0" fontId="25" fillId="0" borderId="18" xfId="1" applyFont="1" applyBorder="1" applyAlignment="1">
      <alignment horizontal="center" vertical="center"/>
    </xf>
    <xf numFmtId="0" fontId="25" fillId="3" borderId="18" xfId="1" applyFont="1" applyFill="1" applyBorder="1" applyAlignment="1">
      <alignment horizontal="center" vertical="center"/>
    </xf>
    <xf numFmtId="0" fontId="25" fillId="3" borderId="17" xfId="1" applyFont="1" applyFill="1" applyBorder="1" applyAlignment="1">
      <alignment horizontal="center" vertical="center"/>
    </xf>
    <xf numFmtId="0" fontId="15" fillId="3" borderId="0" xfId="1" applyFont="1" applyFill="1" applyBorder="1" applyAlignment="1">
      <alignment horizontal="center" vertical="center" shrinkToFit="1"/>
    </xf>
    <xf numFmtId="0" fontId="13" fillId="3" borderId="49" xfId="1" applyFont="1" applyFill="1" applyBorder="1" applyAlignment="1">
      <alignment horizontal="center" vertical="center" shrinkToFit="1"/>
    </xf>
    <xf numFmtId="0" fontId="13" fillId="3" borderId="44" xfId="1" applyFont="1" applyFill="1" applyBorder="1" applyAlignment="1">
      <alignment horizontal="center" vertical="center" shrinkToFit="1"/>
    </xf>
    <xf numFmtId="0" fontId="13" fillId="3" borderId="25" xfId="1" applyFont="1" applyFill="1" applyBorder="1" applyAlignment="1">
      <alignment horizontal="center" vertical="center" shrinkToFit="1"/>
    </xf>
    <xf numFmtId="0" fontId="13" fillId="3" borderId="9" xfId="1" applyFont="1" applyFill="1" applyBorder="1" applyAlignment="1">
      <alignment horizontal="center" vertical="center" shrinkToFit="1"/>
    </xf>
    <xf numFmtId="0" fontId="13" fillId="3" borderId="39" xfId="1" applyFont="1" applyFill="1" applyBorder="1" applyAlignment="1">
      <alignment horizontal="center" vertical="center" shrinkToFit="1"/>
    </xf>
    <xf numFmtId="0" fontId="13" fillId="3" borderId="41" xfId="1" applyFont="1" applyFill="1" applyBorder="1" applyAlignment="1">
      <alignment horizontal="center" vertical="center" shrinkToFit="1"/>
    </xf>
    <xf numFmtId="0" fontId="13" fillId="3" borderId="7" xfId="1" applyFont="1" applyFill="1" applyBorder="1" applyAlignment="1">
      <alignment horizontal="center" vertical="center" shrinkToFit="1"/>
    </xf>
    <xf numFmtId="0" fontId="13" fillId="3" borderId="53" xfId="1" applyFont="1" applyFill="1" applyBorder="1" applyAlignment="1">
      <alignment horizontal="center" vertical="center" shrinkToFit="1"/>
    </xf>
    <xf numFmtId="0" fontId="13" fillId="3" borderId="51" xfId="1" applyFont="1" applyFill="1" applyBorder="1" applyAlignment="1">
      <alignment horizontal="center" vertical="center" shrinkToFit="1"/>
    </xf>
    <xf numFmtId="0" fontId="4" fillId="3" borderId="1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7" fillId="3" borderId="12" xfId="1" applyFont="1" applyFill="1" applyBorder="1" applyAlignment="1">
      <alignment horizontal="center" vertical="center"/>
    </xf>
    <xf numFmtId="0" fontId="7" fillId="3" borderId="19" xfId="1" applyFont="1" applyFill="1" applyBorder="1" applyAlignment="1">
      <alignment horizontal="center" vertical="center"/>
    </xf>
    <xf numFmtId="0" fontId="25" fillId="2" borderId="27" xfId="1" applyFont="1" applyFill="1" applyBorder="1" applyAlignment="1">
      <alignment horizontal="center" vertical="center"/>
    </xf>
    <xf numFmtId="0" fontId="25" fillId="2" borderId="35" xfId="1" applyFont="1" applyFill="1" applyBorder="1" applyAlignment="1">
      <alignment horizontal="center" vertical="center"/>
    </xf>
    <xf numFmtId="0" fontId="13" fillId="3" borderId="12" xfId="1" applyFont="1" applyFill="1" applyBorder="1" applyAlignment="1">
      <alignment horizontal="center" vertical="center"/>
    </xf>
    <xf numFmtId="0" fontId="25" fillId="3" borderId="28" xfId="1" applyFont="1" applyFill="1" applyBorder="1" applyAlignment="1">
      <alignment horizontal="center" vertical="center"/>
    </xf>
    <xf numFmtId="0" fontId="25" fillId="3" borderId="0" xfId="1" applyFont="1" applyFill="1" applyAlignment="1">
      <alignment horizontal="center" vertical="center"/>
    </xf>
    <xf numFmtId="0" fontId="0" fillId="3" borderId="0" xfId="1" applyFont="1" applyFill="1" applyAlignment="1">
      <alignment horizontal="center"/>
    </xf>
    <xf numFmtId="0" fontId="0" fillId="3" borderId="0" xfId="0" applyFill="1">
      <alignment vertical="center"/>
    </xf>
    <xf numFmtId="0" fontId="3" fillId="3" borderId="0" xfId="2" applyFill="1">
      <alignment vertical="center"/>
    </xf>
    <xf numFmtId="0" fontId="10" fillId="3" borderId="2" xfId="1" applyFont="1" applyFill="1" applyBorder="1" applyAlignment="1">
      <alignment horizontal="center" vertical="center"/>
    </xf>
    <xf numFmtId="0" fontId="10" fillId="3" borderId="11" xfId="1" applyFont="1" applyFill="1" applyBorder="1" applyAlignment="1">
      <alignment horizontal="center" vertical="center"/>
    </xf>
    <xf numFmtId="0" fontId="0" fillId="3" borderId="18" xfId="1" applyFont="1" applyFill="1" applyBorder="1" applyAlignment="1">
      <alignment horizontal="center" vertical="center"/>
    </xf>
    <xf numFmtId="0" fontId="0" fillId="3" borderId="26" xfId="1" applyFont="1" applyFill="1" applyBorder="1" applyAlignment="1">
      <alignment horizontal="center" vertical="center"/>
    </xf>
    <xf numFmtId="0" fontId="30" fillId="3" borderId="0" xfId="1" applyFont="1" applyFill="1" applyAlignment="1">
      <alignment horizontal="center"/>
    </xf>
    <xf numFmtId="0" fontId="17" fillId="5" borderId="5" xfId="1" applyFont="1" applyFill="1" applyBorder="1" applyAlignment="1">
      <alignment horizontal="center" vertical="center"/>
    </xf>
    <xf numFmtId="0" fontId="19" fillId="7" borderId="6" xfId="1" applyFont="1" applyFill="1" applyBorder="1" applyAlignment="1">
      <alignment horizontal="center" vertical="center"/>
    </xf>
    <xf numFmtId="0" fontId="35" fillId="7" borderId="6" xfId="1" applyFont="1" applyFill="1" applyBorder="1" applyAlignment="1">
      <alignment horizontal="center" vertical="center"/>
    </xf>
    <xf numFmtId="0" fontId="13" fillId="7" borderId="6" xfId="1" applyFont="1" applyFill="1" applyBorder="1" applyAlignment="1">
      <alignment horizontal="center" vertical="center"/>
    </xf>
    <xf numFmtId="0" fontId="17" fillId="7" borderId="6" xfId="1" applyFont="1" applyFill="1" applyBorder="1" applyAlignment="1">
      <alignment horizontal="center" vertical="center"/>
    </xf>
    <xf numFmtId="0" fontId="18" fillId="7" borderId="6" xfId="1" applyFont="1" applyFill="1" applyBorder="1" applyAlignment="1">
      <alignment horizontal="center" vertical="center"/>
    </xf>
    <xf numFmtId="0" fontId="37" fillId="7" borderId="6" xfId="1" applyFont="1" applyFill="1" applyBorder="1" applyAlignment="1">
      <alignment horizontal="center" vertical="center"/>
    </xf>
    <xf numFmtId="0" fontId="38" fillId="7" borderId="6" xfId="1" applyFont="1" applyFill="1" applyBorder="1" applyAlignment="1">
      <alignment horizontal="center" vertical="center"/>
    </xf>
    <xf numFmtId="0" fontId="36" fillId="7" borderId="6" xfId="1" applyFont="1" applyFill="1" applyBorder="1" applyAlignment="1">
      <alignment horizontal="center" vertical="center"/>
    </xf>
    <xf numFmtId="0" fontId="39" fillId="7" borderId="6" xfId="1" applyFont="1" applyFill="1" applyBorder="1" applyAlignment="1">
      <alignment horizontal="center" vertical="center"/>
    </xf>
    <xf numFmtId="0" fontId="18" fillId="5" borderId="8" xfId="1" applyFont="1" applyFill="1" applyBorder="1" applyAlignment="1">
      <alignment horizontal="center" vertical="center"/>
    </xf>
    <xf numFmtId="0" fontId="40" fillId="4" borderId="32" xfId="1" applyFont="1" applyFill="1" applyBorder="1" applyAlignment="1">
      <alignment horizontal="center" vertical="center"/>
    </xf>
    <xf numFmtId="0" fontId="25" fillId="3" borderId="31" xfId="1" applyFont="1" applyFill="1" applyBorder="1" applyAlignment="1">
      <alignment horizontal="center" vertical="center"/>
    </xf>
    <xf numFmtId="0" fontId="25" fillId="3" borderId="10" xfId="1" applyFont="1" applyFill="1" applyBorder="1" applyAlignment="1">
      <alignment horizontal="center" vertical="center"/>
    </xf>
    <xf numFmtId="0" fontId="25" fillId="3" borderId="35" xfId="1" applyFont="1" applyFill="1" applyBorder="1" applyAlignment="1">
      <alignment horizontal="center" vertical="center"/>
    </xf>
    <xf numFmtId="0" fontId="24" fillId="11" borderId="67" xfId="1" applyFont="1" applyFill="1" applyBorder="1" applyAlignment="1">
      <alignment horizontal="center"/>
    </xf>
    <xf numFmtId="0" fontId="24" fillId="0" borderId="55" xfId="1" applyFont="1" applyBorder="1" applyAlignment="1">
      <alignment horizontal="center"/>
    </xf>
    <xf numFmtId="0" fontId="24" fillId="11" borderId="55" xfId="1" applyFont="1" applyFill="1" applyBorder="1" applyAlignment="1">
      <alignment horizontal="center"/>
    </xf>
    <xf numFmtId="0" fontId="24" fillId="11" borderId="56" xfId="1" applyFont="1" applyFill="1" applyBorder="1" applyAlignment="1">
      <alignment horizontal="center"/>
    </xf>
    <xf numFmtId="0" fontId="24" fillId="0" borderId="5" xfId="1" applyFont="1" applyBorder="1" applyAlignment="1">
      <alignment horizontal="center"/>
    </xf>
    <xf numFmtId="0" fontId="24" fillId="0" borderId="13" xfId="1" applyFont="1" applyBorder="1" applyAlignment="1">
      <alignment horizontal="center"/>
    </xf>
    <xf numFmtId="0" fontId="24" fillId="11" borderId="13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4" fillId="0" borderId="52" xfId="1" applyFont="1" applyBorder="1" applyAlignment="1">
      <alignment horizontal="center"/>
    </xf>
    <xf numFmtId="0" fontId="24" fillId="11" borderId="52" xfId="1" applyFont="1" applyFill="1" applyBorder="1" applyAlignment="1">
      <alignment horizontal="center"/>
    </xf>
    <xf numFmtId="0" fontId="24" fillId="11" borderId="53" xfId="1" applyFont="1" applyFill="1" applyBorder="1" applyAlignment="1">
      <alignment horizontal="center"/>
    </xf>
    <xf numFmtId="0" fontId="24" fillId="0" borderId="44" xfId="1" applyFont="1" applyBorder="1" applyAlignment="1">
      <alignment horizontal="center"/>
    </xf>
    <xf numFmtId="0" fontId="24" fillId="0" borderId="51" xfId="1" applyFont="1" applyBorder="1" applyAlignment="1">
      <alignment horizontal="center"/>
    </xf>
    <xf numFmtId="0" fontId="24" fillId="0" borderId="14" xfId="1" applyFont="1" applyFill="1" applyBorder="1" applyAlignment="1">
      <alignment horizontal="center"/>
    </xf>
    <xf numFmtId="0" fontId="24" fillId="0" borderId="13" xfId="1" applyFont="1" applyFill="1" applyBorder="1" applyAlignment="1">
      <alignment horizontal="center"/>
    </xf>
    <xf numFmtId="0" fontId="24" fillId="0" borderId="21" xfId="1" applyFont="1" applyBorder="1" applyAlignment="1">
      <alignment horizontal="center"/>
    </xf>
    <xf numFmtId="0" fontId="24" fillId="0" borderId="44" xfId="1" applyFont="1" applyFill="1" applyBorder="1" applyAlignment="1">
      <alignment horizontal="center"/>
    </xf>
    <xf numFmtId="0" fontId="42" fillId="3" borderId="14" xfId="1" applyFont="1" applyFill="1" applyBorder="1" applyAlignment="1">
      <alignment horizontal="center" vertical="center" shrinkToFit="1"/>
    </xf>
    <xf numFmtId="0" fontId="25" fillId="0" borderId="57" xfId="1" applyFont="1" applyBorder="1" applyAlignment="1">
      <alignment horizontal="center" vertical="center"/>
    </xf>
    <xf numFmtId="0" fontId="25" fillId="3" borderId="66" xfId="1" applyFont="1" applyFill="1" applyBorder="1" applyAlignment="1">
      <alignment horizontal="center" vertical="center"/>
    </xf>
    <xf numFmtId="0" fontId="25" fillId="3" borderId="68" xfId="1" applyFont="1" applyFill="1" applyBorder="1" applyAlignment="1">
      <alignment horizontal="center" vertical="center"/>
    </xf>
    <xf numFmtId="0" fontId="25" fillId="3" borderId="53" xfId="1" applyFont="1" applyFill="1" applyBorder="1" applyAlignment="1">
      <alignment horizontal="center" vertical="center"/>
    </xf>
    <xf numFmtId="0" fontId="25" fillId="3" borderId="63" xfId="1" applyFont="1" applyFill="1" applyBorder="1" applyAlignment="1">
      <alignment horizontal="center" vertical="center"/>
    </xf>
    <xf numFmtId="0" fontId="25" fillId="0" borderId="46" xfId="1" applyFont="1" applyBorder="1" applyAlignment="1">
      <alignment horizontal="center" vertical="center"/>
    </xf>
    <xf numFmtId="0" fontId="21" fillId="5" borderId="40" xfId="1" applyFont="1" applyFill="1" applyBorder="1" applyAlignment="1">
      <alignment horizontal="center" vertical="center"/>
    </xf>
    <xf numFmtId="0" fontId="20" fillId="0" borderId="5" xfId="1" applyFont="1" applyBorder="1" applyAlignment="1">
      <alignment horizontal="center" vertical="center" shrinkToFit="1"/>
    </xf>
    <xf numFmtId="0" fontId="20" fillId="0" borderId="8" xfId="1" applyFont="1" applyBorder="1" applyAlignment="1">
      <alignment horizontal="center" vertical="center" shrinkToFit="1"/>
    </xf>
    <xf numFmtId="0" fontId="20" fillId="0" borderId="13" xfId="1" applyFont="1" applyBorder="1" applyAlignment="1">
      <alignment horizontal="center" vertical="center" shrinkToFit="1"/>
    </xf>
    <xf numFmtId="0" fontId="20" fillId="0" borderId="15" xfId="1" applyFont="1" applyBorder="1" applyAlignment="1">
      <alignment horizontal="center" vertical="center" shrinkToFit="1"/>
    </xf>
    <xf numFmtId="0" fontId="20" fillId="0" borderId="13" xfId="1" applyFont="1" applyFill="1" applyBorder="1" applyAlignment="1">
      <alignment horizontal="center" vertical="center" shrinkToFit="1"/>
    </xf>
    <xf numFmtId="0" fontId="20" fillId="0" borderId="15" xfId="1" applyFont="1" applyFill="1" applyBorder="1" applyAlignment="1">
      <alignment horizontal="center" vertical="center" shrinkToFit="1"/>
    </xf>
    <xf numFmtId="0" fontId="20" fillId="0" borderId="15" xfId="1" applyFont="1" applyBorder="1" applyAlignment="1">
      <alignment horizontal="center" vertical="center"/>
    </xf>
    <xf numFmtId="0" fontId="20" fillId="0" borderId="21" xfId="1" applyFont="1" applyBorder="1" applyAlignment="1">
      <alignment horizontal="center" vertical="center" shrinkToFit="1"/>
    </xf>
    <xf numFmtId="0" fontId="20" fillId="0" borderId="23" xfId="1" applyFont="1" applyBorder="1" applyAlignment="1">
      <alignment horizontal="center" vertical="center"/>
    </xf>
    <xf numFmtId="0" fontId="20" fillId="0" borderId="25" xfId="1" applyFont="1" applyBorder="1" applyAlignment="1">
      <alignment horizontal="center" vertical="center" shrinkToFit="1"/>
    </xf>
    <xf numFmtId="0" fontId="20" fillId="0" borderId="49" xfId="1" applyFont="1" applyBorder="1" applyAlignment="1">
      <alignment horizontal="center" vertical="center" shrinkToFit="1"/>
    </xf>
    <xf numFmtId="0" fontId="20" fillId="0" borderId="44" xfId="1" applyFont="1" applyBorder="1" applyAlignment="1">
      <alignment horizontal="center" vertical="center" shrinkToFit="1"/>
    </xf>
    <xf numFmtId="0" fontId="20" fillId="0" borderId="43" xfId="1" applyFont="1" applyBorder="1" applyAlignment="1">
      <alignment horizontal="center" vertical="center"/>
    </xf>
    <xf numFmtId="0" fontId="20" fillId="0" borderId="5" xfId="1" applyFont="1" applyFill="1" applyBorder="1" applyAlignment="1">
      <alignment horizontal="center" vertical="center" shrinkToFit="1"/>
    </xf>
    <xf numFmtId="0" fontId="20" fillId="0" borderId="8" xfId="1" applyFont="1" applyFill="1" applyBorder="1" applyAlignment="1">
      <alignment horizontal="center" vertical="center" shrinkToFit="1"/>
    </xf>
    <xf numFmtId="0" fontId="20" fillId="0" borderId="58" xfId="1" applyFont="1" applyBorder="1" applyAlignment="1">
      <alignment horizontal="center" vertical="center" shrinkToFit="1"/>
    </xf>
    <xf numFmtId="0" fontId="20" fillId="0" borderId="65" xfId="1" applyFont="1" applyBorder="1" applyAlignment="1">
      <alignment horizontal="center" vertical="center"/>
    </xf>
    <xf numFmtId="0" fontId="24" fillId="0" borderId="25" xfId="1" applyFont="1" applyBorder="1" applyAlignment="1">
      <alignment horizontal="center"/>
    </xf>
    <xf numFmtId="0" fontId="24" fillId="0" borderId="45" xfId="1" applyFont="1" applyBorder="1" applyAlignment="1">
      <alignment horizontal="center"/>
    </xf>
    <xf numFmtId="0" fontId="24" fillId="0" borderId="5" xfId="1" applyFont="1" applyFill="1" applyBorder="1" applyAlignment="1">
      <alignment horizontal="center"/>
    </xf>
    <xf numFmtId="0" fontId="24" fillId="11" borderId="44" xfId="1" applyFont="1" applyFill="1" applyBorder="1" applyAlignment="1">
      <alignment horizontal="center"/>
    </xf>
    <xf numFmtId="0" fontId="24" fillId="11" borderId="42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0" borderId="64" xfId="1" applyFont="1" applyBorder="1" applyAlignment="1">
      <alignment horizontal="center"/>
    </xf>
    <xf numFmtId="0" fontId="24" fillId="11" borderId="64" xfId="1" applyFont="1" applyFill="1" applyBorder="1" applyAlignment="1">
      <alignment horizontal="center"/>
    </xf>
    <xf numFmtId="0" fontId="11" fillId="7" borderId="6" xfId="2" applyFont="1" applyFill="1" applyBorder="1">
      <alignment vertical="center"/>
    </xf>
    <xf numFmtId="0" fontId="44" fillId="4" borderId="14" xfId="1" applyFont="1" applyFill="1" applyBorder="1" applyAlignment="1">
      <alignment horizontal="center" vertical="center"/>
    </xf>
    <xf numFmtId="0" fontId="44" fillId="4" borderId="15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5" fillId="3" borderId="54" xfId="1" applyFont="1" applyFill="1" applyBorder="1" applyAlignment="1">
      <alignment horizontal="center" vertical="center"/>
    </xf>
    <xf numFmtId="0" fontId="25" fillId="0" borderId="10" xfId="1" applyFont="1" applyBorder="1" applyAlignment="1">
      <alignment horizontal="center" vertical="center"/>
    </xf>
    <xf numFmtId="0" fontId="25" fillId="0" borderId="31" xfId="1" applyFont="1" applyBorder="1" applyAlignment="1">
      <alignment horizontal="center" vertical="center"/>
    </xf>
    <xf numFmtId="0" fontId="25" fillId="0" borderId="69" xfId="1" applyFont="1" applyBorder="1" applyAlignment="1">
      <alignment horizontal="center" vertical="center"/>
    </xf>
    <xf numFmtId="0" fontId="25" fillId="3" borderId="69" xfId="1" applyFont="1" applyFill="1" applyBorder="1" applyAlignment="1">
      <alignment horizontal="center" vertical="center"/>
    </xf>
    <xf numFmtId="0" fontId="20" fillId="0" borderId="38" xfId="1" applyFont="1" applyBorder="1" applyAlignment="1">
      <alignment horizontal="center" vertical="center" shrinkToFit="1"/>
    </xf>
    <xf numFmtId="0" fontId="13" fillId="3" borderId="70" xfId="1" applyFont="1" applyFill="1" applyBorder="1" applyAlignment="1">
      <alignment horizontal="center" vertical="center" shrinkToFit="1"/>
    </xf>
    <xf numFmtId="0" fontId="13" fillId="3" borderId="48" xfId="1" applyFont="1" applyFill="1" applyBorder="1" applyAlignment="1">
      <alignment horizontal="center" vertical="center" shrinkToFit="1"/>
    </xf>
    <xf numFmtId="0" fontId="13" fillId="3" borderId="43" xfId="1" applyFont="1" applyFill="1" applyBorder="1" applyAlignment="1">
      <alignment horizontal="center" vertical="center" shrinkToFit="1"/>
    </xf>
    <xf numFmtId="0" fontId="42" fillId="3" borderId="42" xfId="1" applyFont="1" applyFill="1" applyBorder="1" applyAlignment="1">
      <alignment horizontal="center" vertical="center" shrinkToFit="1"/>
    </xf>
    <xf numFmtId="0" fontId="25" fillId="0" borderId="28" xfId="1" applyFont="1" applyBorder="1" applyAlignment="1">
      <alignment horizontal="center" vertical="center"/>
    </xf>
    <xf numFmtId="0" fontId="20" fillId="0" borderId="39" xfId="1" applyFont="1" applyBorder="1" applyAlignment="1">
      <alignment horizontal="center" vertical="center" shrinkToFit="1"/>
    </xf>
    <xf numFmtId="0" fontId="20" fillId="0" borderId="41" xfId="1" applyFont="1" applyBorder="1" applyAlignment="1">
      <alignment horizontal="center" vertical="center" shrinkToFit="1"/>
    </xf>
    <xf numFmtId="0" fontId="20" fillId="0" borderId="32" xfId="1" applyFont="1" applyBorder="1" applyAlignment="1">
      <alignment horizontal="center" vertical="center" shrinkToFit="1"/>
    </xf>
    <xf numFmtId="0" fontId="13" fillId="3" borderId="71" xfId="1" applyFont="1" applyFill="1" applyBorder="1" applyAlignment="1">
      <alignment horizontal="center" vertical="center" shrinkToFit="1"/>
    </xf>
    <xf numFmtId="0" fontId="13" fillId="3" borderId="55" xfId="1" applyFont="1" applyFill="1" applyBorder="1" applyAlignment="1">
      <alignment horizontal="center" vertical="center" shrinkToFit="1"/>
    </xf>
    <xf numFmtId="0" fontId="13" fillId="3" borderId="56" xfId="1" applyFont="1" applyFill="1" applyBorder="1" applyAlignment="1">
      <alignment horizontal="center" vertical="center" shrinkToFit="1"/>
    </xf>
    <xf numFmtId="0" fontId="13" fillId="3" borderId="67" xfId="1" applyFont="1" applyFill="1" applyBorder="1" applyAlignment="1">
      <alignment horizontal="center" vertical="center" shrinkToFit="1"/>
    </xf>
    <xf numFmtId="0" fontId="13" fillId="3" borderId="72" xfId="1" applyFont="1" applyFill="1" applyBorder="1" applyAlignment="1">
      <alignment horizontal="center" vertical="center" shrinkToFit="1"/>
    </xf>
    <xf numFmtId="0" fontId="21" fillId="0" borderId="0" xfId="1" applyFont="1" applyBorder="1" applyAlignment="1">
      <alignment horizontal="center" wrapText="1"/>
    </xf>
    <xf numFmtId="0" fontId="25" fillId="13" borderId="30" xfId="1" applyFont="1" applyFill="1" applyBorder="1" applyAlignment="1">
      <alignment horizontal="center" vertical="center"/>
    </xf>
    <xf numFmtId="0" fontId="13" fillId="13" borderId="28" xfId="1" applyFont="1" applyFill="1" applyBorder="1" applyAlignment="1">
      <alignment horizontal="center" vertical="center"/>
    </xf>
    <xf numFmtId="0" fontId="13" fillId="13" borderId="12" xfId="1" applyFont="1" applyFill="1" applyBorder="1" applyAlignment="1">
      <alignment horizontal="center" vertical="center"/>
    </xf>
    <xf numFmtId="0" fontId="25" fillId="13" borderId="18" xfId="1" applyFont="1" applyFill="1" applyBorder="1" applyAlignment="1">
      <alignment horizontal="center" vertical="center"/>
    </xf>
    <xf numFmtId="0" fontId="25" fillId="3" borderId="30" xfId="1" applyFont="1" applyFill="1" applyBorder="1" applyAlignment="1">
      <alignment horizontal="center" vertical="center"/>
    </xf>
    <xf numFmtId="0" fontId="25" fillId="3" borderId="73" xfId="1" applyFont="1" applyFill="1" applyBorder="1" applyAlignment="1">
      <alignment horizontal="center" vertical="center"/>
    </xf>
    <xf numFmtId="0" fontId="44" fillId="4" borderId="52" xfId="1" applyFont="1" applyFill="1" applyBorder="1" applyAlignment="1">
      <alignment horizontal="center" vertical="center"/>
    </xf>
    <xf numFmtId="0" fontId="40" fillId="4" borderId="13" xfId="1" applyFont="1" applyFill="1" applyBorder="1" applyAlignment="1">
      <alignment horizontal="center" vertical="center"/>
    </xf>
    <xf numFmtId="0" fontId="42" fillId="12" borderId="13" xfId="1" applyFont="1" applyFill="1" applyBorder="1" applyAlignment="1">
      <alignment horizontal="center" vertical="center" shrinkToFit="1"/>
    </xf>
    <xf numFmtId="0" fontId="42" fillId="3" borderId="5" xfId="1" applyFont="1" applyFill="1" applyBorder="1" applyAlignment="1">
      <alignment horizontal="center" vertical="center" shrinkToFit="1"/>
    </xf>
    <xf numFmtId="0" fontId="42" fillId="0" borderId="42" xfId="1" applyFont="1" applyBorder="1" applyAlignment="1">
      <alignment horizontal="center" vertical="center" shrinkToFit="1"/>
    </xf>
    <xf numFmtId="0" fontId="42" fillId="3" borderId="6" xfId="1" applyFont="1" applyFill="1" applyBorder="1" applyAlignment="1">
      <alignment horizontal="center" vertical="center" shrinkToFit="1"/>
    </xf>
    <xf numFmtId="0" fontId="42" fillId="0" borderId="14" xfId="1" applyFont="1" applyBorder="1" applyAlignment="1">
      <alignment horizontal="center" vertical="center" shrinkToFit="1"/>
    </xf>
    <xf numFmtId="0" fontId="42" fillId="15" borderId="14" xfId="1" applyFont="1" applyFill="1" applyBorder="1" applyAlignment="1">
      <alignment horizontal="center" vertical="center" shrinkToFit="1"/>
    </xf>
    <xf numFmtId="0" fontId="42" fillId="12" borderId="14" xfId="1" applyFont="1" applyFill="1" applyBorder="1" applyAlignment="1">
      <alignment horizontal="center" vertical="center" shrinkToFit="1"/>
    </xf>
    <xf numFmtId="0" fontId="25" fillId="0" borderId="50" xfId="1" applyFont="1" applyBorder="1" applyAlignment="1">
      <alignment horizontal="center" vertical="center"/>
    </xf>
    <xf numFmtId="0" fontId="25" fillId="3" borderId="74" xfId="1" applyFont="1" applyFill="1" applyBorder="1" applyAlignment="1">
      <alignment horizontal="center" vertical="center"/>
    </xf>
    <xf numFmtId="0" fontId="25" fillId="3" borderId="75" xfId="1" applyFont="1" applyFill="1" applyBorder="1" applyAlignment="1">
      <alignment horizontal="center" vertical="center"/>
    </xf>
    <xf numFmtId="0" fontId="25" fillId="3" borderId="76" xfId="1" applyFont="1" applyFill="1" applyBorder="1" applyAlignment="1">
      <alignment horizontal="center" vertical="center"/>
    </xf>
    <xf numFmtId="0" fontId="25" fillId="3" borderId="40" xfId="1" applyFont="1" applyFill="1" applyBorder="1" applyAlignment="1">
      <alignment horizontal="center" vertical="center"/>
    </xf>
    <xf numFmtId="0" fontId="25" fillId="0" borderId="0" xfId="1" applyFont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3" borderId="52" xfId="0" applyFont="1" applyFill="1" applyBorder="1" applyAlignment="1">
      <alignment horizontal="center" vertical="center"/>
    </xf>
    <xf numFmtId="0" fontId="26" fillId="3" borderId="32" xfId="0" applyFont="1" applyFill="1" applyBorder="1" applyAlignment="1">
      <alignment horizontal="center" vertical="center"/>
    </xf>
    <xf numFmtId="0" fontId="43" fillId="3" borderId="9" xfId="0" applyFont="1" applyFill="1" applyBorder="1" applyAlignment="1">
      <alignment horizontal="center" vertical="center"/>
    </xf>
    <xf numFmtId="0" fontId="26" fillId="3" borderId="6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43" fillId="3" borderId="5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15" xfId="0" applyFont="1" applyFill="1" applyBorder="1" applyAlignment="1">
      <alignment horizontal="center" vertical="center"/>
    </xf>
    <xf numFmtId="0" fontId="26" fillId="3" borderId="67" xfId="0" applyFont="1" applyFill="1" applyBorder="1" applyAlignment="1">
      <alignment horizontal="center" vertical="center"/>
    </xf>
    <xf numFmtId="0" fontId="26" fillId="3" borderId="55" xfId="0" applyFont="1" applyFill="1" applyBorder="1" applyAlignment="1">
      <alignment horizontal="center" vertical="center"/>
    </xf>
    <xf numFmtId="0" fontId="26" fillId="3" borderId="56" xfId="0" applyFont="1" applyFill="1" applyBorder="1" applyAlignment="1">
      <alignment horizontal="center" vertical="center"/>
    </xf>
    <xf numFmtId="0" fontId="26" fillId="3" borderId="71" xfId="0" applyFont="1" applyFill="1" applyBorder="1" applyAlignment="1">
      <alignment horizontal="center" vertical="center"/>
    </xf>
    <xf numFmtId="0" fontId="26" fillId="3" borderId="72" xfId="0" applyFont="1" applyFill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54" xfId="1" applyFont="1" applyBorder="1" applyAlignment="1">
      <alignment horizontal="center" vertical="center"/>
    </xf>
    <xf numFmtId="0" fontId="20" fillId="5" borderId="77" xfId="1" applyFont="1" applyFill="1" applyBorder="1" applyAlignment="1">
      <alignment horizontal="center" vertical="center"/>
    </xf>
    <xf numFmtId="0" fontId="18" fillId="6" borderId="78" xfId="1" applyFont="1" applyFill="1" applyBorder="1" applyAlignment="1">
      <alignment horizontal="center" vertical="center"/>
    </xf>
    <xf numFmtId="0" fontId="12" fillId="5" borderId="79" xfId="1" applyFont="1" applyFill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7" fillId="0" borderId="0" xfId="2" applyFont="1" applyBorder="1">
      <alignment vertical="center"/>
    </xf>
    <xf numFmtId="0" fontId="8" fillId="0" borderId="0" xfId="2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42" fillId="3" borderId="44" xfId="1" applyFont="1" applyFill="1" applyBorder="1" applyAlignment="1">
      <alignment horizontal="center" vertical="center" shrinkToFit="1"/>
    </xf>
    <xf numFmtId="0" fontId="40" fillId="2" borderId="21" xfId="1" applyFont="1" applyFill="1" applyBorder="1" applyAlignment="1">
      <alignment horizontal="center" vertical="center"/>
    </xf>
    <xf numFmtId="0" fontId="44" fillId="2" borderId="22" xfId="1" applyFont="1" applyFill="1" applyBorder="1" applyAlignment="1">
      <alignment horizontal="center" vertical="center"/>
    </xf>
    <xf numFmtId="0" fontId="44" fillId="3" borderId="22" xfId="1" applyFont="1" applyFill="1" applyBorder="1" applyAlignment="1">
      <alignment horizontal="center" vertical="center"/>
    </xf>
    <xf numFmtId="0" fontId="44" fillId="2" borderId="23" xfId="1" applyFont="1" applyFill="1" applyBorder="1" applyAlignment="1">
      <alignment horizontal="center" vertical="center"/>
    </xf>
    <xf numFmtId="0" fontId="36" fillId="7" borderId="7" xfId="1" applyFont="1" applyFill="1" applyBorder="1" applyAlignment="1">
      <alignment horizontal="center" vertical="center"/>
    </xf>
    <xf numFmtId="0" fontId="44" fillId="2" borderId="53" xfId="1" applyFont="1" applyFill="1" applyBorder="1" applyAlignment="1">
      <alignment horizontal="center" vertical="center"/>
    </xf>
    <xf numFmtId="0" fontId="17" fillId="5" borderId="9" xfId="1" applyFont="1" applyFill="1" applyBorder="1" applyAlignment="1">
      <alignment horizontal="center" vertical="center"/>
    </xf>
    <xf numFmtId="0" fontId="40" fillId="2" borderId="39" xfId="1" applyFont="1" applyFill="1" applyBorder="1" applyAlignment="1">
      <alignment horizontal="center" vertical="center"/>
    </xf>
    <xf numFmtId="0" fontId="36" fillId="7" borderId="5" xfId="1" applyFont="1" applyFill="1" applyBorder="1" applyAlignment="1">
      <alignment horizontal="center" vertical="center"/>
    </xf>
    <xf numFmtId="0" fontId="17" fillId="7" borderId="8" xfId="1" applyFont="1" applyFill="1" applyBorder="1" applyAlignment="1">
      <alignment horizontal="center" vertical="center"/>
    </xf>
    <xf numFmtId="0" fontId="12" fillId="7" borderId="7" xfId="1" applyFont="1" applyFill="1" applyBorder="1" applyAlignment="1">
      <alignment horizontal="center" vertical="center"/>
    </xf>
    <xf numFmtId="0" fontId="44" fillId="3" borderId="53" xfId="1" applyFont="1" applyFill="1" applyBorder="1" applyAlignment="1">
      <alignment horizontal="center" vertical="center"/>
    </xf>
    <xf numFmtId="0" fontId="17" fillId="7" borderId="5" xfId="1" applyFont="1" applyFill="1" applyBorder="1" applyAlignment="1">
      <alignment horizontal="center" vertical="center"/>
    </xf>
    <xf numFmtId="0" fontId="40" fillId="3" borderId="21" xfId="1" applyFont="1" applyFill="1" applyBorder="1" applyAlignment="1">
      <alignment horizontal="center" vertical="center"/>
    </xf>
    <xf numFmtId="0" fontId="42" fillId="12" borderId="42" xfId="1" applyFont="1" applyFill="1" applyBorder="1" applyAlignment="1">
      <alignment horizontal="center" vertical="center" shrinkToFit="1"/>
    </xf>
    <xf numFmtId="0" fontId="42" fillId="12" borderId="43" xfId="1" applyFont="1" applyFill="1" applyBorder="1" applyAlignment="1">
      <alignment horizontal="center" vertical="center" shrinkToFit="1"/>
    </xf>
    <xf numFmtId="0" fontId="42" fillId="3" borderId="43" xfId="1" applyFont="1" applyFill="1" applyBorder="1" applyAlignment="1">
      <alignment horizontal="center" vertical="center" shrinkToFit="1"/>
    </xf>
    <xf numFmtId="0" fontId="42" fillId="0" borderId="43" xfId="1" applyFont="1" applyBorder="1" applyAlignment="1">
      <alignment horizontal="center" vertical="center" shrinkToFit="1"/>
    </xf>
    <xf numFmtId="0" fontId="42" fillId="3" borderId="15" xfId="1" applyFont="1" applyFill="1" applyBorder="1" applyAlignment="1">
      <alignment horizontal="center" vertical="center" shrinkToFit="1"/>
    </xf>
    <xf numFmtId="0" fontId="42" fillId="3" borderId="13" xfId="1" applyFont="1" applyFill="1" applyBorder="1" applyAlignment="1">
      <alignment horizontal="center" vertical="center" shrinkToFit="1"/>
    </xf>
    <xf numFmtId="0" fontId="42" fillId="12" borderId="15" xfId="1" applyFont="1" applyFill="1" applyBorder="1" applyAlignment="1">
      <alignment horizontal="center" vertical="center" shrinkToFit="1"/>
    </xf>
    <xf numFmtId="0" fontId="42" fillId="3" borderId="25" xfId="1" applyFont="1" applyFill="1" applyBorder="1" applyAlignment="1">
      <alignment horizontal="center" vertical="center" shrinkToFit="1"/>
    </xf>
    <xf numFmtId="0" fontId="42" fillId="3" borderId="45" xfId="1" applyFont="1" applyFill="1" applyBorder="1" applyAlignment="1">
      <alignment horizontal="center" vertical="center" shrinkToFit="1"/>
    </xf>
    <xf numFmtId="0" fontId="42" fillId="0" borderId="45" xfId="1" applyFont="1" applyBorder="1" applyAlignment="1">
      <alignment horizontal="center" vertical="center" shrinkToFit="1"/>
    </xf>
    <xf numFmtId="0" fontId="42" fillId="12" borderId="45" xfId="1" applyFont="1" applyFill="1" applyBorder="1" applyAlignment="1">
      <alignment horizontal="center" vertical="center" shrinkToFit="1"/>
    </xf>
    <xf numFmtId="0" fontId="42" fillId="3" borderId="49" xfId="1" applyFont="1" applyFill="1" applyBorder="1" applyAlignment="1">
      <alignment horizontal="center" vertical="center" shrinkToFit="1"/>
    </xf>
    <xf numFmtId="0" fontId="42" fillId="12" borderId="25" xfId="1" applyFont="1" applyFill="1" applyBorder="1" applyAlignment="1">
      <alignment horizontal="center" vertical="center" shrinkToFit="1"/>
    </xf>
    <xf numFmtId="0" fontId="42" fillId="0" borderId="6" xfId="1" applyFont="1" applyBorder="1" applyAlignment="1">
      <alignment horizontal="center" vertical="center" shrinkToFit="1"/>
    </xf>
    <xf numFmtId="0" fontId="42" fillId="12" borderId="6" xfId="1" applyFont="1" applyFill="1" applyBorder="1" applyAlignment="1">
      <alignment horizontal="center" vertical="center" shrinkToFit="1"/>
    </xf>
    <xf numFmtId="0" fontId="42" fillId="12" borderId="8" xfId="1" applyFont="1" applyFill="1" applyBorder="1" applyAlignment="1">
      <alignment horizontal="center" vertical="center" shrinkToFit="1"/>
    </xf>
    <xf numFmtId="0" fontId="42" fillId="15" borderId="6" xfId="1" applyFont="1" applyFill="1" applyBorder="1" applyAlignment="1">
      <alignment horizontal="center" vertical="center" shrinkToFit="1"/>
    </xf>
    <xf numFmtId="0" fontId="42" fillId="0" borderId="8" xfId="1" applyFont="1" applyBorder="1" applyAlignment="1">
      <alignment horizontal="center" vertical="center" shrinkToFit="1"/>
    </xf>
    <xf numFmtId="0" fontId="42" fillId="0" borderId="5" xfId="1" applyFont="1" applyBorder="1" applyAlignment="1">
      <alignment horizontal="center" vertical="center" shrinkToFit="1"/>
    </xf>
    <xf numFmtId="0" fontId="42" fillId="3" borderId="8" xfId="1" applyFont="1" applyFill="1" applyBorder="1" applyAlignment="1">
      <alignment horizontal="center" vertical="center" shrinkToFit="1"/>
    </xf>
    <xf numFmtId="0" fontId="42" fillId="0" borderId="15" xfId="1" applyFont="1" applyBorder="1" applyAlignment="1">
      <alignment horizontal="center" vertical="center" shrinkToFit="1"/>
    </xf>
    <xf numFmtId="0" fontId="42" fillId="0" borderId="13" xfId="1" applyFont="1" applyBorder="1" applyAlignment="1">
      <alignment horizontal="center" vertical="center" shrinkToFit="1"/>
    </xf>
    <xf numFmtId="0" fontId="42" fillId="14" borderId="14" xfId="1" applyFont="1" applyFill="1" applyBorder="1" applyAlignment="1">
      <alignment horizontal="center" vertical="center" shrinkToFit="1"/>
    </xf>
    <xf numFmtId="0" fontId="42" fillId="14" borderId="15" xfId="1" applyFont="1" applyFill="1" applyBorder="1" applyAlignment="1">
      <alignment horizontal="center" vertical="center" shrinkToFit="1"/>
    </xf>
    <xf numFmtId="0" fontId="42" fillId="16" borderId="14" xfId="1" applyFont="1" applyFill="1" applyBorder="1" applyAlignment="1">
      <alignment horizontal="center" vertical="center" shrinkToFit="1"/>
    </xf>
    <xf numFmtId="0" fontId="42" fillId="12" borderId="21" xfId="1" applyFont="1" applyFill="1" applyBorder="1" applyAlignment="1">
      <alignment horizontal="center" vertical="center" shrinkToFit="1"/>
    </xf>
    <xf numFmtId="0" fontId="42" fillId="3" borderId="22" xfId="1" applyFont="1" applyFill="1" applyBorder="1" applyAlignment="1">
      <alignment horizontal="center" vertical="center" shrinkToFit="1"/>
    </xf>
    <xf numFmtId="0" fontId="42" fillId="3" borderId="23" xfId="1" applyFont="1" applyFill="1" applyBorder="1" applyAlignment="1">
      <alignment horizontal="center" vertical="center" shrinkToFit="1"/>
    </xf>
    <xf numFmtId="0" fontId="42" fillId="12" borderId="22" xfId="1" applyFont="1" applyFill="1" applyBorder="1" applyAlignment="1">
      <alignment horizontal="center" vertical="center" shrinkToFit="1"/>
    </xf>
    <xf numFmtId="0" fontId="42" fillId="14" borderId="22" xfId="1" applyFont="1" applyFill="1" applyBorder="1" applyAlignment="1">
      <alignment horizontal="center" vertical="center" shrinkToFit="1"/>
    </xf>
    <xf numFmtId="0" fontId="42" fillId="12" borderId="41" xfId="1" applyFont="1" applyFill="1" applyBorder="1" applyAlignment="1">
      <alignment horizontal="center" vertical="center" shrinkToFit="1"/>
    </xf>
    <xf numFmtId="0" fontId="42" fillId="0" borderId="51" xfId="1" applyFont="1" applyBorder="1" applyAlignment="1">
      <alignment horizontal="center" vertical="center" shrinkToFit="1"/>
    </xf>
    <xf numFmtId="0" fontId="42" fillId="3" borderId="7" xfId="1" applyFont="1" applyFill="1" applyBorder="1" applyAlignment="1">
      <alignment horizontal="center" vertical="center" shrinkToFit="1"/>
    </xf>
    <xf numFmtId="0" fontId="42" fillId="3" borderId="32" xfId="1" applyFont="1" applyFill="1" applyBorder="1" applyAlignment="1">
      <alignment horizontal="center" vertical="center" shrinkToFit="1"/>
    </xf>
    <xf numFmtId="0" fontId="42" fillId="0" borderId="52" xfId="1" applyFont="1" applyBorder="1" applyAlignment="1">
      <alignment horizontal="center" vertical="center" shrinkToFit="1"/>
    </xf>
    <xf numFmtId="0" fontId="42" fillId="3" borderId="52" xfId="1" applyFont="1" applyFill="1" applyBorder="1" applyAlignment="1">
      <alignment horizontal="center" vertical="center" shrinkToFit="1"/>
    </xf>
    <xf numFmtId="0" fontId="42" fillId="12" borderId="52" xfId="1" applyFont="1" applyFill="1" applyBorder="1" applyAlignment="1">
      <alignment horizontal="center" vertical="center" shrinkToFit="1"/>
    </xf>
    <xf numFmtId="0" fontId="42" fillId="12" borderId="32" xfId="1" applyFont="1" applyFill="1" applyBorder="1" applyAlignment="1">
      <alignment horizontal="center" vertical="center" shrinkToFit="1"/>
    </xf>
    <xf numFmtId="0" fontId="42" fillId="0" borderId="32" xfId="1" applyFont="1" applyBorder="1" applyAlignment="1">
      <alignment horizontal="center" vertical="center" shrinkToFit="1"/>
    </xf>
    <xf numFmtId="0" fontId="42" fillId="3" borderId="39" xfId="1" applyFont="1" applyFill="1" applyBorder="1" applyAlignment="1">
      <alignment horizontal="center" vertical="center" shrinkToFit="1"/>
    </xf>
    <xf numFmtId="0" fontId="42" fillId="0" borderId="21" xfId="1" applyFont="1" applyBorder="1" applyAlignment="1">
      <alignment horizontal="center" vertical="center" shrinkToFit="1"/>
    </xf>
    <xf numFmtId="0" fontId="42" fillId="0" borderId="22" xfId="1" applyFont="1" applyBorder="1" applyAlignment="1">
      <alignment horizontal="center" vertical="center" shrinkToFit="1"/>
    </xf>
    <xf numFmtId="0" fontId="42" fillId="15" borderId="22" xfId="1" applyFont="1" applyFill="1" applyBorder="1" applyAlignment="1">
      <alignment horizontal="center" vertical="center" shrinkToFit="1"/>
    </xf>
    <xf numFmtId="0" fontId="42" fillId="3" borderId="21" xfId="1" applyFont="1" applyFill="1" applyBorder="1" applyAlignment="1">
      <alignment horizontal="center" vertical="center" shrinkToFit="1"/>
    </xf>
    <xf numFmtId="0" fontId="42" fillId="3" borderId="53" xfId="1" applyFont="1" applyFill="1" applyBorder="1" applyAlignment="1">
      <alignment horizontal="center" vertical="center" shrinkToFit="1"/>
    </xf>
    <xf numFmtId="0" fontId="17" fillId="5" borderId="80" xfId="1" applyFont="1" applyFill="1" applyBorder="1" applyAlignment="1">
      <alignment horizontal="center" vertical="center"/>
    </xf>
    <xf numFmtId="0" fontId="19" fillId="7" borderId="81" xfId="1" applyFont="1" applyFill="1" applyBorder="1" applyAlignment="1">
      <alignment horizontal="center" vertical="center"/>
    </xf>
    <xf numFmtId="0" fontId="35" fillId="7" borderId="81" xfId="1" applyFont="1" applyFill="1" applyBorder="1" applyAlignment="1">
      <alignment horizontal="center" vertical="center"/>
    </xf>
    <xf numFmtId="0" fontId="13" fillId="7" borderId="81" xfId="1" applyFont="1" applyFill="1" applyBorder="1" applyAlignment="1">
      <alignment horizontal="center" vertical="center"/>
    </xf>
    <xf numFmtId="0" fontId="17" fillId="7" borderId="81" xfId="1" applyFont="1" applyFill="1" applyBorder="1" applyAlignment="1">
      <alignment horizontal="center" vertical="center"/>
    </xf>
    <xf numFmtId="0" fontId="36" fillId="7" borderId="82" xfId="1" applyFont="1" applyFill="1" applyBorder="1" applyAlignment="1">
      <alignment horizontal="center" vertical="center"/>
    </xf>
    <xf numFmtId="0" fontId="36" fillId="7" borderId="83" xfId="1" applyFont="1" applyFill="1" applyBorder="1" applyAlignment="1">
      <alignment horizontal="center" vertical="center"/>
    </xf>
    <xf numFmtId="0" fontId="18" fillId="7" borderId="81" xfId="1" applyFont="1" applyFill="1" applyBorder="1" applyAlignment="1">
      <alignment horizontal="center" vertical="center"/>
    </xf>
    <xf numFmtId="0" fontId="37" fillId="7" borderId="81" xfId="1" applyFont="1" applyFill="1" applyBorder="1" applyAlignment="1">
      <alignment horizontal="center" vertical="center"/>
    </xf>
    <xf numFmtId="0" fontId="17" fillId="7" borderId="84" xfId="1" applyFont="1" applyFill="1" applyBorder="1" applyAlignment="1">
      <alignment horizontal="center" vertical="center"/>
    </xf>
    <xf numFmtId="0" fontId="38" fillId="7" borderId="81" xfId="1" applyFont="1" applyFill="1" applyBorder="1" applyAlignment="1">
      <alignment horizontal="center" vertical="center"/>
    </xf>
    <xf numFmtId="0" fontId="36" fillId="7" borderId="81" xfId="1" applyFont="1" applyFill="1" applyBorder="1" applyAlignment="1">
      <alignment horizontal="center" vertical="center"/>
    </xf>
    <xf numFmtId="0" fontId="39" fillId="7" borderId="81" xfId="1" applyFont="1" applyFill="1" applyBorder="1" applyAlignment="1">
      <alignment horizontal="center" vertical="center"/>
    </xf>
    <xf numFmtId="0" fontId="12" fillId="7" borderId="82" xfId="1" applyFont="1" applyFill="1" applyBorder="1" applyAlignment="1">
      <alignment horizontal="center" vertical="center"/>
    </xf>
    <xf numFmtId="0" fontId="17" fillId="7" borderId="83" xfId="1" applyFont="1" applyFill="1" applyBorder="1" applyAlignment="1">
      <alignment horizontal="center" vertical="center"/>
    </xf>
    <xf numFmtId="0" fontId="11" fillId="7" borderId="81" xfId="2" applyFont="1" applyFill="1" applyBorder="1">
      <alignment vertical="center"/>
    </xf>
    <xf numFmtId="0" fontId="18" fillId="5" borderId="82" xfId="1" applyFont="1" applyFill="1" applyBorder="1" applyAlignment="1">
      <alignment horizontal="center" vertical="center"/>
    </xf>
    <xf numFmtId="0" fontId="40" fillId="4" borderId="5" xfId="1" applyFont="1" applyFill="1" applyBorder="1" applyAlignment="1">
      <alignment horizontal="center" vertical="center"/>
    </xf>
    <xf numFmtId="0" fontId="40" fillId="4" borderId="21" xfId="1" applyFont="1" applyFill="1" applyBorder="1" applyAlignment="1">
      <alignment horizontal="center" vertical="center"/>
    </xf>
    <xf numFmtId="0" fontId="40" fillId="4" borderId="9" xfId="1" applyFont="1" applyFill="1" applyBorder="1" applyAlignment="1">
      <alignment horizontal="center" vertical="center"/>
    </xf>
    <xf numFmtId="0" fontId="40" fillId="4" borderId="39" xfId="1" applyFont="1" applyFill="1" applyBorder="1" applyAlignment="1">
      <alignment horizontal="center" vertical="center"/>
    </xf>
    <xf numFmtId="0" fontId="44" fillId="4" borderId="6" xfId="1" applyFont="1" applyFill="1" applyBorder="1" applyAlignment="1">
      <alignment horizontal="center" vertical="center"/>
    </xf>
    <xf numFmtId="0" fontId="44" fillId="4" borderId="8" xfId="1" applyFont="1" applyFill="1" applyBorder="1" applyAlignment="1">
      <alignment horizontal="center" vertical="center"/>
    </xf>
    <xf numFmtId="0" fontId="44" fillId="4" borderId="7" xfId="1" applyFont="1" applyFill="1" applyBorder="1" applyAlignment="1">
      <alignment horizontal="center" vertical="center"/>
    </xf>
    <xf numFmtId="0" fontId="44" fillId="4" borderId="22" xfId="1" applyFont="1" applyFill="1" applyBorder="1" applyAlignment="1">
      <alignment horizontal="center" vertical="center"/>
    </xf>
    <xf numFmtId="0" fontId="44" fillId="4" borderId="23" xfId="1" applyFont="1" applyFill="1" applyBorder="1" applyAlignment="1">
      <alignment horizontal="center" vertical="center"/>
    </xf>
    <xf numFmtId="0" fontId="44" fillId="4" borderId="53" xfId="1" applyFont="1" applyFill="1" applyBorder="1" applyAlignment="1">
      <alignment horizontal="center" vertical="center"/>
    </xf>
    <xf numFmtId="0" fontId="42" fillId="3" borderId="70" xfId="1" applyFont="1" applyFill="1" applyBorder="1" applyAlignment="1">
      <alignment horizontal="center" vertical="center" shrinkToFit="1"/>
    </xf>
    <xf numFmtId="0" fontId="20" fillId="0" borderId="25" xfId="1" applyFont="1" applyFill="1" applyBorder="1" applyAlignment="1">
      <alignment horizontal="center" vertical="center" shrinkToFit="1"/>
    </xf>
    <xf numFmtId="0" fontId="20" fillId="0" borderId="49" xfId="1" applyFont="1" applyBorder="1" applyAlignment="1">
      <alignment horizontal="center" vertical="center"/>
    </xf>
    <xf numFmtId="0" fontId="20" fillId="0" borderId="50" xfId="1" applyFont="1" applyBorder="1" applyAlignment="1">
      <alignment horizontal="center" vertical="center" shrinkToFit="1"/>
    </xf>
    <xf numFmtId="0" fontId="20" fillId="0" borderId="50" xfId="1" applyFont="1" applyBorder="1" applyAlignment="1">
      <alignment horizontal="center" vertical="center"/>
    </xf>
    <xf numFmtId="0" fontId="20" fillId="0" borderId="8" xfId="1" applyFont="1" applyBorder="1" applyAlignment="1">
      <alignment horizontal="center" vertical="center"/>
    </xf>
    <xf numFmtId="0" fontId="12" fillId="5" borderId="69" xfId="1" applyFont="1" applyFill="1" applyBorder="1" applyAlignment="1">
      <alignment horizontal="center" vertical="center"/>
    </xf>
    <xf numFmtId="0" fontId="20" fillId="0" borderId="10" xfId="1" applyFont="1" applyBorder="1" applyAlignment="1">
      <alignment horizontal="center" vertical="center"/>
    </xf>
    <xf numFmtId="0" fontId="20" fillId="0" borderId="69" xfId="1" applyFont="1" applyBorder="1" applyAlignment="1">
      <alignment horizontal="center" vertical="center"/>
    </xf>
    <xf numFmtId="0" fontId="20" fillId="0" borderId="85" xfId="1" applyFont="1" applyBorder="1" applyAlignment="1">
      <alignment horizontal="center" vertical="center"/>
    </xf>
    <xf numFmtId="0" fontId="20" fillId="0" borderId="38" xfId="1" applyFont="1" applyBorder="1" applyAlignment="1">
      <alignment horizontal="center" vertical="center"/>
    </xf>
    <xf numFmtId="0" fontId="20" fillId="0" borderId="79" xfId="1" applyFont="1" applyBorder="1" applyAlignment="1">
      <alignment horizontal="center" vertical="center" shrinkToFit="1"/>
    </xf>
    <xf numFmtId="0" fontId="20" fillId="0" borderId="69" xfId="1" applyFont="1" applyFill="1" applyBorder="1" applyAlignment="1">
      <alignment horizontal="center" vertical="center" shrinkToFit="1"/>
    </xf>
    <xf numFmtId="0" fontId="20" fillId="0" borderId="28" xfId="1" applyFont="1" applyFill="1" applyBorder="1" applyAlignment="1">
      <alignment horizontal="center" vertical="center" shrinkToFit="1"/>
    </xf>
    <xf numFmtId="0" fontId="42" fillId="15" borderId="45" xfId="1" applyFont="1" applyFill="1" applyBorder="1" applyAlignment="1">
      <alignment horizontal="center" vertical="center" shrinkToFit="1"/>
    </xf>
    <xf numFmtId="0" fontId="43" fillId="3" borderId="44" xfId="0" applyFont="1" applyFill="1" applyBorder="1" applyAlignment="1">
      <alignment horizontal="center" vertical="center"/>
    </xf>
    <xf numFmtId="0" fontId="26" fillId="3" borderId="42" xfId="0" applyFont="1" applyFill="1" applyBorder="1" applyAlignment="1">
      <alignment horizontal="center" vertical="center"/>
    </xf>
    <xf numFmtId="0" fontId="26" fillId="3" borderId="51" xfId="0" applyFont="1" applyFill="1" applyBorder="1" applyAlignment="1">
      <alignment horizontal="center" vertical="center"/>
    </xf>
    <xf numFmtId="0" fontId="26" fillId="3" borderId="58" xfId="0" applyFont="1" applyFill="1" applyBorder="1" applyAlignment="1">
      <alignment horizontal="center" vertical="center"/>
    </xf>
    <xf numFmtId="0" fontId="26" fillId="3" borderId="64" xfId="0" applyFont="1" applyFill="1" applyBorder="1" applyAlignment="1">
      <alignment horizontal="center" vertical="center"/>
    </xf>
    <xf numFmtId="0" fontId="26" fillId="3" borderId="65" xfId="0" applyFont="1" applyFill="1" applyBorder="1" applyAlignment="1">
      <alignment horizontal="center" vertical="center"/>
    </xf>
    <xf numFmtId="0" fontId="41" fillId="0" borderId="0" xfId="1" applyFont="1" applyBorder="1" applyAlignment="1">
      <alignment horizontal="center" vertical="center"/>
    </xf>
    <xf numFmtId="0" fontId="21" fillId="0" borderId="0" xfId="1" applyFont="1" applyBorder="1" applyAlignment="1">
      <alignment horizontal="center" wrapText="1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</cellXfs>
  <cellStyles count="3">
    <cellStyle name="표준" xfId="0" builtinId="0"/>
    <cellStyle name="표준 2" xfId="2"/>
    <cellStyle name="표준 3" xfId="1"/>
  </cellStyles>
  <dxfs count="1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73742</xdr:colOff>
      <xdr:row>2</xdr:row>
      <xdr:rowOff>231445</xdr:rowOff>
    </xdr:from>
    <xdr:ext cx="430523" cy="437279"/>
    <xdr:pic>
      <xdr:nvPicPr>
        <xdr:cNvPr id="2" name="그림 1" descr="xl/media/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742" y="660070"/>
          <a:ext cx="430523" cy="437279"/>
        </a:xfrm>
        <a:prstGeom prst="rect">
          <a:avLst/>
        </a:prstGeom>
        <a:noFill/>
        <a:ln w="0" cap="flat" cmpd="sng">
          <a:noFill/>
          <a:prstDash/>
        </a:ln>
      </xdr:spPr>
    </xdr:pic>
    <xdr:clientData/>
  </xdr:oneCellAnchor>
  <xdr:twoCellAnchor>
    <xdr:from>
      <xdr:col>0</xdr:col>
      <xdr:colOff>27214</xdr:colOff>
      <xdr:row>1</xdr:row>
      <xdr:rowOff>848125</xdr:rowOff>
    </xdr:from>
    <xdr:to>
      <xdr:col>8</xdr:col>
      <xdr:colOff>167583</xdr:colOff>
      <xdr:row>5</xdr:row>
      <xdr:rowOff>91611</xdr:rowOff>
    </xdr:to>
    <xdr:sp macro="" textlink="">
      <xdr:nvSpPr>
        <xdr:cNvPr id="3" name="모서리가 둥근 직사각형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Rot="1"/>
        </xdr:cNvSpPr>
      </xdr:nvSpPr>
      <xdr:spPr>
        <a:xfrm>
          <a:off x="27214" y="1052232"/>
          <a:ext cx="3365262" cy="1230129"/>
        </a:xfrm>
        <a:prstGeom prst="roundRect">
          <a:avLst>
            <a:gd name="adj" fmla="val 16667"/>
          </a:avLst>
        </a:prstGeom>
        <a:noFill/>
        <a:ln w="25400" cap="flat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overflow" wrap="square" lIns="91440" tIns="0" rIns="91440" bIns="0" anchor="ctr"/>
        <a:lstStyle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FF0000"/>
              </a:solidFill>
              <a:latin typeface="Calibri"/>
              <a:ea typeface="Calibri"/>
            </a:rPr>
            <a:t>변경시 파트장 보고 및 어사인표 변경</a:t>
          </a:r>
        </a:p>
      </xdr:txBody>
    </xdr:sp>
    <xdr:clientData/>
  </xdr:twoCellAnchor>
  <xdr:twoCellAnchor editAs="oneCell">
    <xdr:from>
      <xdr:col>44</xdr:col>
      <xdr:colOff>15240</xdr:colOff>
      <xdr:row>3</xdr:row>
      <xdr:rowOff>30480</xdr:rowOff>
    </xdr:from>
    <xdr:to>
      <xdr:col>44</xdr:col>
      <xdr:colOff>480060</xdr:colOff>
      <xdr:row>5</xdr:row>
      <xdr:rowOff>57150</xdr:rowOff>
    </xdr:to>
    <xdr:pic>
      <xdr:nvPicPr>
        <xdr:cNvPr id="4" name="그림 3" descr="xl/media/image1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15083790" y="725805"/>
          <a:ext cx="464820" cy="445769"/>
        </a:xfrm>
        <a:prstGeom prst="rect">
          <a:avLst/>
        </a:prstGeom>
        <a:noFill/>
        <a:ln w="0" cap="flat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73742</xdr:colOff>
      <xdr:row>2</xdr:row>
      <xdr:rowOff>231445</xdr:rowOff>
    </xdr:from>
    <xdr:ext cx="430523" cy="437279"/>
    <xdr:pic>
      <xdr:nvPicPr>
        <xdr:cNvPr id="2" name="그림 1" descr="xl/media/image1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742" y="1250620"/>
          <a:ext cx="430523" cy="437279"/>
        </a:xfrm>
        <a:prstGeom prst="rect">
          <a:avLst/>
        </a:prstGeom>
        <a:noFill/>
        <a:ln w="0" cap="flat" cmpd="sng">
          <a:noFill/>
          <a:prstDash/>
        </a:ln>
      </xdr:spPr>
    </xdr:pic>
    <xdr:clientData/>
  </xdr:oneCellAnchor>
  <xdr:twoCellAnchor>
    <xdr:from>
      <xdr:col>0</xdr:col>
      <xdr:colOff>0</xdr:colOff>
      <xdr:row>1</xdr:row>
      <xdr:rowOff>575982</xdr:rowOff>
    </xdr:from>
    <xdr:to>
      <xdr:col>7</xdr:col>
      <xdr:colOff>244929</xdr:colOff>
      <xdr:row>2</xdr:row>
      <xdr:rowOff>68035</xdr:rowOff>
    </xdr:to>
    <xdr:sp macro="" textlink="">
      <xdr:nvSpPr>
        <xdr:cNvPr id="3" name="모서리가 둥근 직사각형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Rot="1"/>
        </xdr:cNvSpPr>
      </xdr:nvSpPr>
      <xdr:spPr>
        <a:xfrm>
          <a:off x="0" y="780089"/>
          <a:ext cx="3102429" cy="308482"/>
        </a:xfrm>
        <a:prstGeom prst="roundRect">
          <a:avLst>
            <a:gd name="adj" fmla="val 16667"/>
          </a:avLst>
        </a:prstGeom>
        <a:noFill/>
        <a:ln w="25400" cap="flat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overflow" wrap="square" lIns="91440" tIns="0" rIns="91440" bIns="0" anchor="ctr"/>
        <a:lstStyle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FF0000"/>
              </a:solidFill>
              <a:latin typeface="Calibri"/>
              <a:ea typeface="Calibri"/>
            </a:rPr>
            <a:t>변경시 파트장 보고 및 어사인표 변경</a:t>
          </a:r>
        </a:p>
      </xdr:txBody>
    </xdr:sp>
    <xdr:clientData/>
  </xdr:twoCellAnchor>
  <xdr:twoCellAnchor editAs="oneCell">
    <xdr:from>
      <xdr:col>44</xdr:col>
      <xdr:colOff>37652</xdr:colOff>
      <xdr:row>3</xdr:row>
      <xdr:rowOff>97716</xdr:rowOff>
    </xdr:from>
    <xdr:to>
      <xdr:col>45</xdr:col>
      <xdr:colOff>20619</xdr:colOff>
      <xdr:row>5</xdr:row>
      <xdr:rowOff>124386</xdr:rowOff>
    </xdr:to>
    <xdr:pic>
      <xdr:nvPicPr>
        <xdr:cNvPr id="4" name="그림 3" descr="xl/media/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14313946" y="1386392"/>
          <a:ext cx="464820" cy="463700"/>
        </a:xfrm>
        <a:prstGeom prst="rect">
          <a:avLst/>
        </a:prstGeom>
        <a:noFill/>
        <a:ln w="0" cap="flat" cmpd="sng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73742</xdr:colOff>
      <xdr:row>2</xdr:row>
      <xdr:rowOff>231445</xdr:rowOff>
    </xdr:from>
    <xdr:ext cx="430523" cy="437279"/>
    <xdr:pic>
      <xdr:nvPicPr>
        <xdr:cNvPr id="2" name="그림 1" descr="xl/media/image1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742" y="1250620"/>
          <a:ext cx="430523" cy="437279"/>
        </a:xfrm>
        <a:prstGeom prst="rect">
          <a:avLst/>
        </a:prstGeom>
        <a:noFill/>
        <a:ln w="0" cap="flat" cmpd="sng">
          <a:noFill/>
          <a:prstDash/>
        </a:ln>
      </xdr:spPr>
    </xdr:pic>
    <xdr:clientData/>
  </xdr:oneCellAnchor>
  <xdr:twoCellAnchor>
    <xdr:from>
      <xdr:col>0</xdr:col>
      <xdr:colOff>0</xdr:colOff>
      <xdr:row>1</xdr:row>
      <xdr:rowOff>589589</xdr:rowOff>
    </xdr:from>
    <xdr:to>
      <xdr:col>8</xdr:col>
      <xdr:colOff>140369</xdr:colOff>
      <xdr:row>4</xdr:row>
      <xdr:rowOff>37182</xdr:rowOff>
    </xdr:to>
    <xdr:sp macro="" textlink="">
      <xdr:nvSpPr>
        <xdr:cNvPr id="3" name="모서리가 둥근 직사각형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Rot="1"/>
        </xdr:cNvSpPr>
      </xdr:nvSpPr>
      <xdr:spPr>
        <a:xfrm>
          <a:off x="0" y="793696"/>
          <a:ext cx="3365262" cy="753879"/>
        </a:xfrm>
        <a:prstGeom prst="roundRect">
          <a:avLst>
            <a:gd name="adj" fmla="val 16667"/>
          </a:avLst>
        </a:prstGeom>
        <a:noFill/>
        <a:ln w="25400" cap="flat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overflow" wrap="square" lIns="91440" tIns="0" rIns="91440" bIns="0" anchor="ctr"/>
        <a:lstStyle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FF0000"/>
              </a:solidFill>
              <a:latin typeface="Calibri"/>
              <a:ea typeface="Calibri"/>
            </a:rPr>
            <a:t>변경시 파트장 보고 및 어사인표 변경</a:t>
          </a:r>
        </a:p>
      </xdr:txBody>
    </xdr:sp>
    <xdr:clientData/>
  </xdr:twoCellAnchor>
  <xdr:twoCellAnchor editAs="oneCell">
    <xdr:from>
      <xdr:col>44</xdr:col>
      <xdr:colOff>15240</xdr:colOff>
      <xdr:row>3</xdr:row>
      <xdr:rowOff>30480</xdr:rowOff>
    </xdr:from>
    <xdr:to>
      <xdr:col>44</xdr:col>
      <xdr:colOff>480060</xdr:colOff>
      <xdr:row>5</xdr:row>
      <xdr:rowOff>43543</xdr:rowOff>
    </xdr:to>
    <xdr:pic>
      <xdr:nvPicPr>
        <xdr:cNvPr id="4" name="그림 3" descr="xl/media/image1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14378940" y="1316355"/>
          <a:ext cx="464820" cy="455295"/>
        </a:xfrm>
        <a:prstGeom prst="rect">
          <a:avLst/>
        </a:prstGeom>
        <a:noFill/>
        <a:ln w="0" cap="flat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C00000"/>
  </sheetPr>
  <dimension ref="A1:BG54"/>
  <sheetViews>
    <sheetView tabSelected="1" topLeftCell="A2" zoomScale="85" zoomScaleNormal="85" workbookViewId="0">
      <selection activeCell="K8" sqref="K8"/>
    </sheetView>
  </sheetViews>
  <sheetFormatPr defaultRowHeight="16.5"/>
  <cols>
    <col min="1" max="1" width="7" style="148" customWidth="1"/>
    <col min="2" max="2" width="6.375" customWidth="1"/>
    <col min="3" max="30" width="4.75" style="95" customWidth="1"/>
    <col min="31" max="32" width="2.875" style="1" customWidth="1"/>
    <col min="33" max="33" width="2.5" style="1" customWidth="1"/>
    <col min="34" max="36" width="2.625" style="1" customWidth="1"/>
    <col min="37" max="44" width="3.25" style="1" customWidth="1"/>
    <col min="45" max="45" width="6.375" style="149" customWidth="1"/>
    <col min="46" max="59" width="4" style="1" customWidth="1"/>
  </cols>
  <sheetData>
    <row r="1" spans="1:59" ht="16.5" customHeight="1">
      <c r="A1" s="399" t="s">
        <v>56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0"/>
      <c r="P1" s="400"/>
      <c r="Q1" s="400"/>
      <c r="R1" s="400"/>
      <c r="S1" s="400"/>
      <c r="T1" s="400"/>
      <c r="U1" s="400"/>
      <c r="V1" s="400"/>
      <c r="W1" s="400"/>
      <c r="X1" s="400"/>
      <c r="Y1" s="400"/>
      <c r="Z1" s="400"/>
      <c r="AA1" s="400"/>
      <c r="AB1" s="400"/>
      <c r="AC1" s="400"/>
      <c r="AD1" s="400"/>
    </row>
    <row r="2" spans="1:59" ht="102" customHeight="1" thickBot="1">
      <c r="A2" s="400"/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0"/>
      <c r="U2" s="400"/>
      <c r="V2" s="400"/>
      <c r="W2" s="400"/>
      <c r="X2" s="400"/>
      <c r="Y2" s="400"/>
      <c r="Z2" s="400"/>
      <c r="AA2" s="400"/>
      <c r="AB2" s="400"/>
      <c r="AC2" s="400"/>
      <c r="AD2" s="400"/>
    </row>
    <row r="3" spans="1:59" ht="21" thickBot="1">
      <c r="A3" s="138" t="s">
        <v>0</v>
      </c>
      <c r="B3" s="2"/>
      <c r="C3" s="285"/>
      <c r="D3" s="285"/>
      <c r="E3" s="4"/>
      <c r="F3" s="4"/>
      <c r="G3" s="285"/>
      <c r="H3" s="285"/>
      <c r="I3" s="285"/>
      <c r="J3" s="397" t="s">
        <v>98</v>
      </c>
      <c r="K3" s="397"/>
      <c r="L3" s="397"/>
      <c r="M3" s="397"/>
      <c r="N3" s="397"/>
      <c r="O3" s="397"/>
      <c r="P3" s="397"/>
      <c r="Q3" s="397"/>
      <c r="R3" s="397"/>
      <c r="S3" s="397"/>
      <c r="T3" s="397"/>
      <c r="U3" s="397"/>
      <c r="V3" s="286"/>
      <c r="W3" s="287"/>
      <c r="X3" s="287"/>
      <c r="Y3" s="287"/>
      <c r="Z3" s="287"/>
      <c r="AA3" s="287"/>
      <c r="AB3" s="288" t="s">
        <v>1</v>
      </c>
      <c r="AC3" s="288"/>
      <c r="AD3" s="288"/>
      <c r="AE3" s="8"/>
      <c r="AF3" s="8"/>
      <c r="AG3" s="96"/>
      <c r="AH3" s="97"/>
      <c r="AI3" s="98"/>
      <c r="AJ3" s="99"/>
      <c r="AK3" s="9"/>
      <c r="AL3" s="9"/>
      <c r="AM3" s="10"/>
      <c r="AN3" s="11"/>
      <c r="AO3" s="12"/>
      <c r="AP3" s="12"/>
      <c r="AQ3" s="12"/>
      <c r="AR3" s="12"/>
      <c r="AS3" s="150" t="s">
        <v>2</v>
      </c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</row>
    <row r="4" spans="1:59" ht="17.25">
      <c r="A4" s="139"/>
      <c r="B4" s="13"/>
      <c r="C4" s="155"/>
      <c r="D4" s="156"/>
      <c r="E4" s="157"/>
      <c r="F4" s="157"/>
      <c r="G4" s="158"/>
      <c r="H4" s="159"/>
      <c r="I4" s="294"/>
      <c r="J4" s="298"/>
      <c r="K4" s="160"/>
      <c r="L4" s="158"/>
      <c r="M4" s="159"/>
      <c r="N4" s="161"/>
      <c r="O4" s="159"/>
      <c r="P4" s="299"/>
      <c r="Q4" s="296"/>
      <c r="R4" s="162"/>
      <c r="S4" s="156"/>
      <c r="T4" s="163"/>
      <c r="U4" s="164"/>
      <c r="V4" s="156"/>
      <c r="W4" s="300"/>
      <c r="X4" s="302"/>
      <c r="Y4" s="159"/>
      <c r="Z4" s="160"/>
      <c r="AA4" s="156"/>
      <c r="AB4" s="220"/>
      <c r="AC4" s="220"/>
      <c r="AD4" s="165"/>
      <c r="AE4" s="282"/>
      <c r="AF4" s="114"/>
      <c r="AG4" s="100"/>
      <c r="AH4" s="100"/>
      <c r="AI4" s="398"/>
      <c r="AJ4" s="398"/>
      <c r="AK4" s="14"/>
      <c r="AL4" s="14"/>
      <c r="AM4" s="14"/>
      <c r="AN4" s="15"/>
      <c r="AO4" s="14"/>
      <c r="AP4" s="14"/>
      <c r="AQ4" s="14"/>
      <c r="AR4" s="14"/>
      <c r="AS4" s="151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</row>
    <row r="5" spans="1:59">
      <c r="A5" s="140"/>
      <c r="B5" s="280"/>
      <c r="C5" s="251">
        <v>4</v>
      </c>
      <c r="D5" s="221">
        <v>5</v>
      </c>
      <c r="E5" s="221">
        <v>6</v>
      </c>
      <c r="F5" s="221">
        <v>7</v>
      </c>
      <c r="G5" s="221">
        <v>8</v>
      </c>
      <c r="H5" s="221">
        <v>9</v>
      </c>
      <c r="I5" s="250">
        <v>10</v>
      </c>
      <c r="J5" s="251">
        <v>11</v>
      </c>
      <c r="K5" s="221">
        <v>12</v>
      </c>
      <c r="L5" s="221">
        <v>13</v>
      </c>
      <c r="M5" s="221">
        <v>14</v>
      </c>
      <c r="N5" s="221">
        <v>15</v>
      </c>
      <c r="O5" s="221">
        <v>16</v>
      </c>
      <c r="P5" s="222">
        <v>17</v>
      </c>
      <c r="Q5" s="166">
        <v>18</v>
      </c>
      <c r="R5" s="221">
        <v>19</v>
      </c>
      <c r="S5" s="221">
        <v>20</v>
      </c>
      <c r="T5" s="221">
        <v>21</v>
      </c>
      <c r="U5" s="221">
        <v>22</v>
      </c>
      <c r="V5" s="221">
        <v>23</v>
      </c>
      <c r="W5" s="250">
        <v>24</v>
      </c>
      <c r="X5" s="251">
        <v>25</v>
      </c>
      <c r="Y5" s="221">
        <v>26</v>
      </c>
      <c r="Z5" s="221">
        <v>27</v>
      </c>
      <c r="AA5" s="221">
        <v>28</v>
      </c>
      <c r="AB5" s="221">
        <v>29</v>
      </c>
      <c r="AC5" s="221">
        <v>30</v>
      </c>
      <c r="AD5" s="222">
        <v>31</v>
      </c>
      <c r="AE5" s="283" t="s">
        <v>3</v>
      </c>
      <c r="AF5" s="115" t="s">
        <v>3</v>
      </c>
      <c r="AG5" s="101"/>
      <c r="AH5" s="101"/>
      <c r="AI5" s="398"/>
      <c r="AJ5" s="398"/>
      <c r="AK5" s="16">
        <v>1</v>
      </c>
      <c r="AL5" s="16"/>
      <c r="AM5" s="16">
        <v>2</v>
      </c>
      <c r="AN5" s="16"/>
      <c r="AO5" s="16">
        <v>3</v>
      </c>
      <c r="AP5" s="16"/>
      <c r="AQ5" s="16">
        <v>4</v>
      </c>
      <c r="AR5" s="16"/>
      <c r="AS5" s="152"/>
      <c r="AT5" s="17"/>
      <c r="AU5" s="17"/>
      <c r="AV5" s="17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ht="17.25" thickBot="1">
      <c r="A6" s="141"/>
      <c r="B6" s="281" t="s">
        <v>4</v>
      </c>
      <c r="C6" s="290" t="s">
        <v>57</v>
      </c>
      <c r="D6" s="291" t="s">
        <v>58</v>
      </c>
      <c r="E6" s="291" t="s">
        <v>59</v>
      </c>
      <c r="F6" s="291" t="s">
        <v>60</v>
      </c>
      <c r="G6" s="291" t="s">
        <v>61</v>
      </c>
      <c r="H6" s="291" t="s">
        <v>62</v>
      </c>
      <c r="I6" s="295" t="s">
        <v>78</v>
      </c>
      <c r="J6" s="290" t="s">
        <v>57</v>
      </c>
      <c r="K6" s="291" t="s">
        <v>64</v>
      </c>
      <c r="L6" s="291" t="s">
        <v>59</v>
      </c>
      <c r="M6" s="291" t="s">
        <v>60</v>
      </c>
      <c r="N6" s="291" t="s">
        <v>61</v>
      </c>
      <c r="O6" s="291" t="s">
        <v>62</v>
      </c>
      <c r="P6" s="293" t="s">
        <v>63</v>
      </c>
      <c r="Q6" s="297" t="s">
        <v>57</v>
      </c>
      <c r="R6" s="291" t="s">
        <v>64</v>
      </c>
      <c r="S6" s="292" t="s">
        <v>59</v>
      </c>
      <c r="T6" s="292" t="s">
        <v>60</v>
      </c>
      <c r="U6" s="292" t="s">
        <v>61</v>
      </c>
      <c r="V6" s="292" t="s">
        <v>62</v>
      </c>
      <c r="W6" s="301" t="s">
        <v>63</v>
      </c>
      <c r="X6" s="303" t="s">
        <v>57</v>
      </c>
      <c r="Y6" s="292" t="s">
        <v>64</v>
      </c>
      <c r="Z6" s="292" t="s">
        <v>59</v>
      </c>
      <c r="AA6" s="292" t="s">
        <v>60</v>
      </c>
      <c r="AB6" s="291" t="s">
        <v>61</v>
      </c>
      <c r="AC6" s="291" t="s">
        <v>62</v>
      </c>
      <c r="AD6" s="293" t="s">
        <v>63</v>
      </c>
      <c r="AE6" s="284" t="s">
        <v>5</v>
      </c>
      <c r="AF6" s="18" t="s">
        <v>6</v>
      </c>
      <c r="AG6" s="101"/>
      <c r="AH6" s="101"/>
      <c r="AI6" s="102"/>
      <c r="AJ6" s="103"/>
      <c r="AK6" s="19" t="s">
        <v>7</v>
      </c>
      <c r="AL6" s="19" t="s">
        <v>5</v>
      </c>
      <c r="AM6" s="19" t="s">
        <v>7</v>
      </c>
      <c r="AN6" s="19" t="s">
        <v>5</v>
      </c>
      <c r="AO6" s="19" t="s">
        <v>7</v>
      </c>
      <c r="AP6" s="19" t="s">
        <v>5</v>
      </c>
      <c r="AQ6" s="19" t="s">
        <v>7</v>
      </c>
      <c r="AR6" s="19" t="s">
        <v>5</v>
      </c>
      <c r="AS6" s="153"/>
      <c r="AT6" s="17" t="s">
        <v>8</v>
      </c>
      <c r="AU6" s="17" t="s">
        <v>9</v>
      </c>
      <c r="AV6" s="17" t="s">
        <v>10</v>
      </c>
      <c r="AW6" s="11" t="s">
        <v>11</v>
      </c>
      <c r="AX6" s="11" t="s">
        <v>12</v>
      </c>
      <c r="AY6" s="11" t="s">
        <v>13</v>
      </c>
      <c r="AZ6" s="11" t="s">
        <v>5</v>
      </c>
      <c r="BA6" s="11" t="s">
        <v>14</v>
      </c>
      <c r="BB6" s="11" t="s">
        <v>79</v>
      </c>
      <c r="BC6" s="11" t="s">
        <v>15</v>
      </c>
      <c r="BD6" s="11" t="s">
        <v>16</v>
      </c>
      <c r="BE6" s="11" t="s">
        <v>17</v>
      </c>
      <c r="BF6" s="11" t="s">
        <v>6</v>
      </c>
      <c r="BG6" s="11" t="s">
        <v>18</v>
      </c>
    </row>
    <row r="7" spans="1:59" ht="17.25" thickBot="1">
      <c r="A7" s="142" t="s">
        <v>19</v>
      </c>
      <c r="B7" s="20"/>
      <c r="C7" s="289" t="s">
        <v>66</v>
      </c>
      <c r="D7" s="233" t="s">
        <v>7</v>
      </c>
      <c r="E7" s="233" t="s">
        <v>66</v>
      </c>
      <c r="F7" s="304" t="s">
        <v>86</v>
      </c>
      <c r="G7" s="304" t="s">
        <v>20</v>
      </c>
      <c r="H7" s="233" t="s">
        <v>66</v>
      </c>
      <c r="I7" s="305" t="s">
        <v>20</v>
      </c>
      <c r="J7" s="289" t="s">
        <v>66</v>
      </c>
      <c r="K7" s="233" t="s">
        <v>7</v>
      </c>
      <c r="L7" s="304" t="s">
        <v>20</v>
      </c>
      <c r="M7" s="233" t="s">
        <v>25</v>
      </c>
      <c r="N7" s="233" t="s">
        <v>6</v>
      </c>
      <c r="O7" s="304" t="s">
        <v>5</v>
      </c>
      <c r="P7" s="306" t="s">
        <v>6</v>
      </c>
      <c r="Q7" s="289" t="s">
        <v>5</v>
      </c>
      <c r="R7" s="233" t="s">
        <v>7</v>
      </c>
      <c r="S7" s="304" t="s">
        <v>25</v>
      </c>
      <c r="T7" s="304" t="s">
        <v>67</v>
      </c>
      <c r="U7" s="304" t="s">
        <v>80</v>
      </c>
      <c r="V7" s="304" t="s">
        <v>14</v>
      </c>
      <c r="W7" s="307" t="s">
        <v>67</v>
      </c>
      <c r="X7" s="289" t="s">
        <v>67</v>
      </c>
      <c r="Y7" s="233" t="s">
        <v>7</v>
      </c>
      <c r="Z7" s="233" t="s">
        <v>20</v>
      </c>
      <c r="AA7" s="233" t="s">
        <v>80</v>
      </c>
      <c r="AB7" s="304" t="s">
        <v>5</v>
      </c>
      <c r="AC7" s="304" t="s">
        <v>12</v>
      </c>
      <c r="AD7" s="305" t="s">
        <v>14</v>
      </c>
      <c r="AE7" s="23">
        <f t="shared" ref="AE7:AE16" si="0">SUM(AT7:BD7)</f>
        <v>11</v>
      </c>
      <c r="AF7" s="24">
        <f>COUNTIF(C7:AD7,"N")</f>
        <v>4</v>
      </c>
      <c r="AG7" s="104"/>
      <c r="AH7" s="105"/>
      <c r="AI7" s="106"/>
      <c r="AJ7" s="106"/>
      <c r="AK7" s="25">
        <f t="shared" ref="AK7:AK38" si="1">COUNTIF($C7:$I7,AK$6)</f>
        <v>1</v>
      </c>
      <c r="AL7" s="26">
        <f t="shared" ref="AL7:AL38" si="2">COUNTIF($C7:$I7,AL$6&amp;"*")</f>
        <v>1</v>
      </c>
      <c r="AM7" s="26">
        <f t="shared" ref="AM7:AN23" si="3">COUNTIF($J7:$P7,AM$6)</f>
        <v>1</v>
      </c>
      <c r="AN7" s="26">
        <f t="shared" si="3"/>
        <v>1</v>
      </c>
      <c r="AO7" s="26">
        <f t="shared" ref="AO7:AP23" si="4">COUNTIF($Q7:$W7,AO$6)</f>
        <v>1</v>
      </c>
      <c r="AP7" s="26">
        <f t="shared" si="4"/>
        <v>1</v>
      </c>
      <c r="AQ7" s="26">
        <f t="shared" ref="AQ7:AR23" si="5">COUNTIF($X7:$AD7,AQ$6)</f>
        <v>1</v>
      </c>
      <c r="AR7" s="27">
        <f t="shared" si="5"/>
        <v>1</v>
      </c>
      <c r="AS7" s="142" t="s">
        <v>19</v>
      </c>
      <c r="AT7" s="17">
        <f t="shared" ref="AT7:AT47" si="6">COUNTIF(C7:AD7,"특*")</f>
        <v>0</v>
      </c>
      <c r="AU7" s="17">
        <f t="shared" ref="AU7:AU47" si="7">COUNTIF(C7:AD7,"경가")</f>
        <v>0</v>
      </c>
      <c r="AV7" s="17">
        <f t="shared" ref="AV7:AV47" si="8">COUNTIF(C7:AD7,"병*")</f>
        <v>0</v>
      </c>
      <c r="AW7" s="11">
        <f t="shared" ref="AW7:AW48" si="9">COUNTIF(C7:AD7,"공*")</f>
        <v>0</v>
      </c>
      <c r="AX7" s="11">
        <f t="shared" ref="AX7:AX48" si="10">COUNTIF(C7:AD7,"생*")+COUNTIF(C7:AD7,"산전")+COUNTIF(C7:AD7,"검진")</f>
        <v>1</v>
      </c>
      <c r="AY7" s="11">
        <f t="shared" ref="AY7:AY48" si="11">COUNTIF(C7:AD7,"법*")</f>
        <v>0</v>
      </c>
      <c r="AZ7" s="11">
        <f t="shared" ref="AZ7:AZ48" si="12">COUNTIF(C7:AD7,"*OFF*")</f>
        <v>4</v>
      </c>
      <c r="BA7" s="11">
        <f t="shared" ref="BA7:BA48" si="13">COUNTIF(C7:AD7,"VAC*")+COUNTIF(C7:AD7,"휴가")</f>
        <v>2</v>
      </c>
      <c r="BB7" s="11">
        <f>COUNTIF(B7:AC7,"출산*")</f>
        <v>0</v>
      </c>
      <c r="BC7" s="11">
        <f t="shared" ref="BC7:BC28" si="14">COUNTIF(C7:AD7,"*수면*")</f>
        <v>0</v>
      </c>
      <c r="BD7" s="11">
        <f t="shared" ref="BD7:BD48" si="15">COUNTIF(C7:AD7,"주")</f>
        <v>4</v>
      </c>
      <c r="BE7" s="28">
        <f t="shared" ref="BE7:BE48" si="16">SUM(AX7:BD7)</f>
        <v>11</v>
      </c>
      <c r="BF7" s="29">
        <f t="shared" ref="BF7:BF48" si="17">COUNTIF(J7:AD7,"N")</f>
        <v>4</v>
      </c>
      <c r="BG7" s="11">
        <f t="shared" ref="BG7:BG48" si="18">SUM(AU7:BD7)</f>
        <v>11</v>
      </c>
    </row>
    <row r="8" spans="1:59" ht="17.25" thickBot="1">
      <c r="A8" s="40" t="s">
        <v>21</v>
      </c>
      <c r="B8" s="30"/>
      <c r="C8" s="252" t="s">
        <v>80</v>
      </c>
      <c r="D8" s="258" t="s">
        <v>87</v>
      </c>
      <c r="E8" s="187" t="s">
        <v>7</v>
      </c>
      <c r="F8" s="187" t="s">
        <v>66</v>
      </c>
      <c r="G8" s="258" t="s">
        <v>82</v>
      </c>
      <c r="H8" s="187" t="s">
        <v>80</v>
      </c>
      <c r="I8" s="308" t="s">
        <v>80</v>
      </c>
      <c r="J8" s="309" t="s">
        <v>82</v>
      </c>
      <c r="K8" s="187" t="s">
        <v>69</v>
      </c>
      <c r="L8" s="187" t="s">
        <v>7</v>
      </c>
      <c r="M8" s="258" t="s">
        <v>66</v>
      </c>
      <c r="N8" s="258" t="s">
        <v>66</v>
      </c>
      <c r="O8" s="187" t="s">
        <v>83</v>
      </c>
      <c r="P8" s="308" t="s">
        <v>66</v>
      </c>
      <c r="Q8" s="252" t="s">
        <v>66</v>
      </c>
      <c r="R8" s="258" t="s">
        <v>82</v>
      </c>
      <c r="S8" s="187" t="s">
        <v>7</v>
      </c>
      <c r="T8" s="258" t="s">
        <v>88</v>
      </c>
      <c r="U8" s="187" t="s">
        <v>66</v>
      </c>
      <c r="V8" s="187" t="s">
        <v>66</v>
      </c>
      <c r="W8" s="308" t="s">
        <v>66</v>
      </c>
      <c r="X8" s="309" t="s">
        <v>66</v>
      </c>
      <c r="Y8" s="187" t="s">
        <v>67</v>
      </c>
      <c r="Z8" s="187" t="s">
        <v>7</v>
      </c>
      <c r="AA8" s="258" t="s">
        <v>66</v>
      </c>
      <c r="AB8" s="258" t="s">
        <v>66</v>
      </c>
      <c r="AC8" s="258" t="s">
        <v>82</v>
      </c>
      <c r="AD8" s="308" t="s">
        <v>80</v>
      </c>
      <c r="AE8" s="34">
        <f t="shared" si="0"/>
        <v>11</v>
      </c>
      <c r="AF8" s="35">
        <f t="shared" ref="AF8:AF48" si="19">COUNTIF(C8:AD8,"N")</f>
        <v>4</v>
      </c>
      <c r="AG8" s="104"/>
      <c r="AH8" s="105"/>
      <c r="AI8" s="106"/>
      <c r="AJ8" s="106"/>
      <c r="AK8" s="37">
        <f t="shared" si="1"/>
        <v>1</v>
      </c>
      <c r="AL8" s="26">
        <f t="shared" si="2"/>
        <v>1</v>
      </c>
      <c r="AM8" s="38">
        <f t="shared" si="3"/>
        <v>1</v>
      </c>
      <c r="AN8" s="38">
        <f>COUNTIF($J8:$P8,AN$6)</f>
        <v>1</v>
      </c>
      <c r="AO8" s="38">
        <f t="shared" si="4"/>
        <v>1</v>
      </c>
      <c r="AP8" s="38">
        <f t="shared" si="4"/>
        <v>1</v>
      </c>
      <c r="AQ8" s="38">
        <f t="shared" si="5"/>
        <v>1</v>
      </c>
      <c r="AR8" s="39">
        <f t="shared" si="5"/>
        <v>1</v>
      </c>
      <c r="AS8" s="40" t="s">
        <v>21</v>
      </c>
      <c r="AT8" s="17">
        <f t="shared" si="6"/>
        <v>0</v>
      </c>
      <c r="AU8" s="17">
        <f t="shared" si="7"/>
        <v>0</v>
      </c>
      <c r="AV8" s="17">
        <f t="shared" si="8"/>
        <v>0</v>
      </c>
      <c r="AW8" s="11">
        <f t="shared" si="9"/>
        <v>0</v>
      </c>
      <c r="AX8" s="11">
        <f t="shared" si="10"/>
        <v>1</v>
      </c>
      <c r="AY8" s="11">
        <f t="shared" si="11"/>
        <v>0</v>
      </c>
      <c r="AZ8" s="11">
        <f t="shared" si="12"/>
        <v>4</v>
      </c>
      <c r="BA8" s="11">
        <f t="shared" si="13"/>
        <v>2</v>
      </c>
      <c r="BB8" s="11">
        <f t="shared" ref="BB8:BB48" si="20">COUNTIF(B8:AC8,"출산*")</f>
        <v>0</v>
      </c>
      <c r="BC8" s="11">
        <f t="shared" si="14"/>
        <v>0</v>
      </c>
      <c r="BD8" s="11">
        <f t="shared" si="15"/>
        <v>4</v>
      </c>
      <c r="BE8" s="28">
        <f t="shared" si="16"/>
        <v>11</v>
      </c>
      <c r="BF8" s="29">
        <f t="shared" si="17"/>
        <v>1</v>
      </c>
      <c r="BG8" s="11">
        <f t="shared" si="18"/>
        <v>11</v>
      </c>
    </row>
    <row r="9" spans="1:59" ht="17.25" thickBot="1">
      <c r="A9" s="40" t="s">
        <v>22</v>
      </c>
      <c r="B9" s="41"/>
      <c r="C9" s="309" t="s">
        <v>67</v>
      </c>
      <c r="D9" s="187" t="s">
        <v>67</v>
      </c>
      <c r="E9" s="187" t="s">
        <v>67</v>
      </c>
      <c r="F9" s="187" t="s">
        <v>67</v>
      </c>
      <c r="G9" s="187" t="s">
        <v>7</v>
      </c>
      <c r="H9" s="187" t="s">
        <v>82</v>
      </c>
      <c r="I9" s="308" t="s">
        <v>95</v>
      </c>
      <c r="J9" s="309" t="s">
        <v>67</v>
      </c>
      <c r="K9" s="187" t="s">
        <v>67</v>
      </c>
      <c r="L9" s="187" t="s">
        <v>80</v>
      </c>
      <c r="M9" s="187" t="s">
        <v>80</v>
      </c>
      <c r="N9" s="187" t="s">
        <v>7</v>
      </c>
      <c r="O9" s="258" t="s">
        <v>89</v>
      </c>
      <c r="P9" s="308" t="s">
        <v>25</v>
      </c>
      <c r="Q9" s="309" t="s">
        <v>67</v>
      </c>
      <c r="R9" s="187" t="s">
        <v>82</v>
      </c>
      <c r="S9" s="187" t="s">
        <v>80</v>
      </c>
      <c r="T9" s="187" t="s">
        <v>80</v>
      </c>
      <c r="U9" s="187" t="s">
        <v>7</v>
      </c>
      <c r="V9" s="258" t="s">
        <v>14</v>
      </c>
      <c r="W9" s="310" t="s">
        <v>69</v>
      </c>
      <c r="X9" s="252" t="s">
        <v>89</v>
      </c>
      <c r="Y9" s="187" t="s">
        <v>66</v>
      </c>
      <c r="Z9" s="187" t="s">
        <v>67</v>
      </c>
      <c r="AA9" s="187" t="s">
        <v>67</v>
      </c>
      <c r="AB9" s="187" t="s">
        <v>7</v>
      </c>
      <c r="AC9" s="187" t="s">
        <v>66</v>
      </c>
      <c r="AD9" s="308" t="s">
        <v>66</v>
      </c>
      <c r="AE9" s="34">
        <f t="shared" si="0"/>
        <v>11</v>
      </c>
      <c r="AF9" s="35">
        <f t="shared" si="19"/>
        <v>4</v>
      </c>
      <c r="AG9" s="104"/>
      <c r="AH9" s="105"/>
      <c r="AI9" s="106"/>
      <c r="AJ9" s="106"/>
      <c r="AK9" s="37">
        <f t="shared" si="1"/>
        <v>1</v>
      </c>
      <c r="AL9" s="26">
        <f t="shared" si="2"/>
        <v>1</v>
      </c>
      <c r="AM9" s="38">
        <f t="shared" si="3"/>
        <v>1</v>
      </c>
      <c r="AN9" s="38">
        <f t="shared" si="3"/>
        <v>1</v>
      </c>
      <c r="AO9" s="38">
        <f t="shared" si="4"/>
        <v>1</v>
      </c>
      <c r="AP9" s="38">
        <f t="shared" si="4"/>
        <v>1</v>
      </c>
      <c r="AQ9" s="38">
        <f t="shared" si="5"/>
        <v>1</v>
      </c>
      <c r="AR9" s="39">
        <f t="shared" si="5"/>
        <v>1</v>
      </c>
      <c r="AS9" s="40" t="s">
        <v>22</v>
      </c>
      <c r="AT9" s="17">
        <f t="shared" si="6"/>
        <v>0</v>
      </c>
      <c r="AU9" s="17">
        <f t="shared" si="7"/>
        <v>0</v>
      </c>
      <c r="AV9" s="17">
        <f t="shared" si="8"/>
        <v>0</v>
      </c>
      <c r="AW9" s="11">
        <f t="shared" si="9"/>
        <v>0</v>
      </c>
      <c r="AX9" s="11">
        <f t="shared" si="10"/>
        <v>1</v>
      </c>
      <c r="AY9" s="11">
        <f t="shared" si="11"/>
        <v>0</v>
      </c>
      <c r="AZ9" s="11">
        <f t="shared" si="12"/>
        <v>4</v>
      </c>
      <c r="BA9" s="11">
        <f t="shared" si="13"/>
        <v>1</v>
      </c>
      <c r="BB9" s="11">
        <f t="shared" si="20"/>
        <v>0</v>
      </c>
      <c r="BC9" s="11">
        <f t="shared" si="14"/>
        <v>1</v>
      </c>
      <c r="BD9" s="11">
        <f t="shared" si="15"/>
        <v>4</v>
      </c>
      <c r="BE9" s="28">
        <f t="shared" si="16"/>
        <v>11</v>
      </c>
      <c r="BF9" s="29">
        <f t="shared" si="17"/>
        <v>4</v>
      </c>
      <c r="BG9" s="11">
        <f t="shared" si="18"/>
        <v>11</v>
      </c>
    </row>
    <row r="10" spans="1:59" ht="17.25" thickBot="1">
      <c r="A10" s="40" t="s">
        <v>23</v>
      </c>
      <c r="B10" s="30"/>
      <c r="C10" s="309" t="s">
        <v>81</v>
      </c>
      <c r="D10" s="187" t="s">
        <v>7</v>
      </c>
      <c r="E10" s="187" t="s">
        <v>66</v>
      </c>
      <c r="F10" s="187" t="s">
        <v>66</v>
      </c>
      <c r="G10" s="187" t="s">
        <v>66</v>
      </c>
      <c r="H10" s="258" t="s">
        <v>66</v>
      </c>
      <c r="I10" s="310" t="s">
        <v>82</v>
      </c>
      <c r="J10" s="252" t="s">
        <v>82</v>
      </c>
      <c r="K10" s="187" t="s">
        <v>7</v>
      </c>
      <c r="L10" s="187" t="s">
        <v>66</v>
      </c>
      <c r="M10" s="257" t="s">
        <v>66</v>
      </c>
      <c r="N10" s="187" t="s">
        <v>80</v>
      </c>
      <c r="O10" s="258" t="s">
        <v>80</v>
      </c>
      <c r="P10" s="308" t="s">
        <v>80</v>
      </c>
      <c r="Q10" s="309" t="s">
        <v>82</v>
      </c>
      <c r="R10" s="187" t="s">
        <v>7</v>
      </c>
      <c r="S10" s="187" t="s">
        <v>81</v>
      </c>
      <c r="T10" s="187" t="s">
        <v>66</v>
      </c>
      <c r="U10" s="187" t="s">
        <v>66</v>
      </c>
      <c r="V10" s="258" t="s">
        <v>80</v>
      </c>
      <c r="W10" s="308" t="s">
        <v>80</v>
      </c>
      <c r="X10" s="309" t="s">
        <v>80</v>
      </c>
      <c r="Y10" s="187" t="s">
        <v>7</v>
      </c>
      <c r="Z10" s="187" t="s">
        <v>82</v>
      </c>
      <c r="AA10" s="187" t="s">
        <v>66</v>
      </c>
      <c r="AB10" s="187" t="s">
        <v>66</v>
      </c>
      <c r="AC10" s="187" t="s">
        <v>66</v>
      </c>
      <c r="AD10" s="308" t="s">
        <v>100</v>
      </c>
      <c r="AE10" s="34">
        <f t="shared" si="0"/>
        <v>11</v>
      </c>
      <c r="AF10" s="35">
        <f t="shared" si="19"/>
        <v>6</v>
      </c>
      <c r="AG10" s="104"/>
      <c r="AH10" s="105"/>
      <c r="AI10" s="106"/>
      <c r="AJ10" s="106"/>
      <c r="AK10" s="37">
        <f t="shared" si="1"/>
        <v>1</v>
      </c>
      <c r="AL10" s="26">
        <f t="shared" si="2"/>
        <v>1</v>
      </c>
      <c r="AM10" s="38">
        <f t="shared" si="3"/>
        <v>1</v>
      </c>
      <c r="AN10" s="38">
        <f t="shared" si="3"/>
        <v>1</v>
      </c>
      <c r="AO10" s="38">
        <f t="shared" si="4"/>
        <v>1</v>
      </c>
      <c r="AP10" s="38">
        <f>COUNTIF($Q10:$W10,AP$6)</f>
        <v>1</v>
      </c>
      <c r="AQ10" s="38">
        <f t="shared" si="5"/>
        <v>1</v>
      </c>
      <c r="AR10" s="39">
        <f t="shared" si="5"/>
        <v>1</v>
      </c>
      <c r="AS10" s="40" t="s">
        <v>23</v>
      </c>
      <c r="AT10" s="17">
        <f t="shared" si="6"/>
        <v>0</v>
      </c>
      <c r="AU10" s="17">
        <f t="shared" si="7"/>
        <v>0</v>
      </c>
      <c r="AV10" s="17">
        <f t="shared" si="8"/>
        <v>0</v>
      </c>
      <c r="AW10" s="11">
        <f t="shared" si="9"/>
        <v>0</v>
      </c>
      <c r="AX10" s="11">
        <f t="shared" si="10"/>
        <v>0</v>
      </c>
      <c r="AY10" s="11">
        <f t="shared" si="11"/>
        <v>0</v>
      </c>
      <c r="AZ10" s="11">
        <f t="shared" si="12"/>
        <v>4</v>
      </c>
      <c r="BA10" s="11">
        <f t="shared" si="13"/>
        <v>2</v>
      </c>
      <c r="BB10" s="11">
        <f t="shared" si="20"/>
        <v>0</v>
      </c>
      <c r="BC10" s="11">
        <f t="shared" si="14"/>
        <v>1</v>
      </c>
      <c r="BD10" s="11">
        <f t="shared" si="15"/>
        <v>4</v>
      </c>
      <c r="BE10" s="28">
        <f t="shared" si="16"/>
        <v>11</v>
      </c>
      <c r="BF10" s="29">
        <f t="shared" si="17"/>
        <v>6</v>
      </c>
      <c r="BG10" s="11">
        <f t="shared" si="18"/>
        <v>11</v>
      </c>
    </row>
    <row r="11" spans="1:59" ht="17.25" thickBot="1">
      <c r="A11" s="244" t="s">
        <v>24</v>
      </c>
      <c r="B11" s="42"/>
      <c r="C11" s="309" t="s">
        <v>7</v>
      </c>
      <c r="D11" s="187" t="s">
        <v>82</v>
      </c>
      <c r="E11" s="256" t="s">
        <v>84</v>
      </c>
      <c r="F11" s="187" t="s">
        <v>66</v>
      </c>
      <c r="G11" s="258" t="s">
        <v>20</v>
      </c>
      <c r="H11" s="258" t="s">
        <v>5</v>
      </c>
      <c r="I11" s="310" t="s">
        <v>12</v>
      </c>
      <c r="J11" s="309" t="s">
        <v>7</v>
      </c>
      <c r="K11" s="258" t="s">
        <v>5</v>
      </c>
      <c r="L11" s="187" t="s">
        <v>67</v>
      </c>
      <c r="M11" s="187" t="s">
        <v>82</v>
      </c>
      <c r="N11" s="187" t="s">
        <v>66</v>
      </c>
      <c r="O11" s="187" t="s">
        <v>66</v>
      </c>
      <c r="P11" s="308" t="s">
        <v>80</v>
      </c>
      <c r="Q11" s="309" t="s">
        <v>7</v>
      </c>
      <c r="R11" s="187" t="s">
        <v>67</v>
      </c>
      <c r="S11" s="256" t="s">
        <v>80</v>
      </c>
      <c r="T11" s="187" t="s">
        <v>5</v>
      </c>
      <c r="U11" s="258" t="s">
        <v>5</v>
      </c>
      <c r="V11" s="187" t="s">
        <v>80</v>
      </c>
      <c r="W11" s="308" t="s">
        <v>80</v>
      </c>
      <c r="X11" s="309" t="s">
        <v>7</v>
      </c>
      <c r="Y11" s="187" t="s">
        <v>82</v>
      </c>
      <c r="Z11" s="187" t="s">
        <v>67</v>
      </c>
      <c r="AA11" s="187" t="s">
        <v>67</v>
      </c>
      <c r="AB11" s="258" t="s">
        <v>5</v>
      </c>
      <c r="AC11" s="187" t="s">
        <v>80</v>
      </c>
      <c r="AD11" s="308" t="s">
        <v>80</v>
      </c>
      <c r="AE11" s="34">
        <f t="shared" si="0"/>
        <v>14</v>
      </c>
      <c r="AF11" s="35">
        <f t="shared" si="19"/>
        <v>6</v>
      </c>
      <c r="AG11" s="104"/>
      <c r="AH11" s="105"/>
      <c r="AI11" s="106"/>
      <c r="AJ11" s="106"/>
      <c r="AK11" s="37">
        <f t="shared" si="1"/>
        <v>1</v>
      </c>
      <c r="AL11" s="26">
        <f t="shared" si="2"/>
        <v>2</v>
      </c>
      <c r="AM11" s="38">
        <f t="shared" si="3"/>
        <v>1</v>
      </c>
      <c r="AN11" s="43">
        <f t="shared" si="3"/>
        <v>2</v>
      </c>
      <c r="AO11" s="38">
        <f t="shared" si="4"/>
        <v>1</v>
      </c>
      <c r="AP11" s="38">
        <f t="shared" si="4"/>
        <v>2</v>
      </c>
      <c r="AQ11" s="38">
        <f t="shared" si="5"/>
        <v>1</v>
      </c>
      <c r="AR11" s="39">
        <f t="shared" si="5"/>
        <v>2</v>
      </c>
      <c r="AS11" s="244" t="s">
        <v>24</v>
      </c>
      <c r="AT11" s="17">
        <f t="shared" si="6"/>
        <v>1</v>
      </c>
      <c r="AU11" s="17">
        <f t="shared" si="7"/>
        <v>0</v>
      </c>
      <c r="AV11" s="17">
        <f t="shared" si="8"/>
        <v>0</v>
      </c>
      <c r="AW11" s="11">
        <f t="shared" si="9"/>
        <v>0</v>
      </c>
      <c r="AX11" s="11">
        <f t="shared" si="10"/>
        <v>1</v>
      </c>
      <c r="AY11" s="11">
        <f t="shared" si="11"/>
        <v>0</v>
      </c>
      <c r="AZ11" s="11">
        <f t="shared" si="12"/>
        <v>8</v>
      </c>
      <c r="BA11" s="11">
        <f t="shared" si="13"/>
        <v>0</v>
      </c>
      <c r="BB11" s="11">
        <f t="shared" si="20"/>
        <v>0</v>
      </c>
      <c r="BC11" s="11">
        <f t="shared" si="14"/>
        <v>0</v>
      </c>
      <c r="BD11" s="11">
        <f t="shared" si="15"/>
        <v>4</v>
      </c>
      <c r="BE11" s="28">
        <f t="shared" si="16"/>
        <v>13</v>
      </c>
      <c r="BF11" s="29">
        <f t="shared" si="17"/>
        <v>6</v>
      </c>
      <c r="BG11" s="11">
        <f t="shared" si="18"/>
        <v>13</v>
      </c>
    </row>
    <row r="12" spans="1:59" ht="17.25" thickBot="1">
      <c r="A12" s="244" t="s">
        <v>26</v>
      </c>
      <c r="B12" s="30"/>
      <c r="C12" s="252" t="s">
        <v>90</v>
      </c>
      <c r="D12" s="187" t="s">
        <v>80</v>
      </c>
      <c r="E12" s="256" t="s">
        <v>80</v>
      </c>
      <c r="F12" s="187" t="s">
        <v>82</v>
      </c>
      <c r="G12" s="258" t="s">
        <v>5</v>
      </c>
      <c r="H12" s="187" t="s">
        <v>65</v>
      </c>
      <c r="I12" s="310" t="s">
        <v>20</v>
      </c>
      <c r="J12" s="252" t="s">
        <v>5</v>
      </c>
      <c r="K12" s="187" t="s">
        <v>66</v>
      </c>
      <c r="L12" s="187" t="s">
        <v>66</v>
      </c>
      <c r="M12" s="187" t="s">
        <v>82</v>
      </c>
      <c r="N12" s="258" t="s">
        <v>20</v>
      </c>
      <c r="O12" s="187" t="s">
        <v>65</v>
      </c>
      <c r="P12" s="310" t="s">
        <v>12</v>
      </c>
      <c r="Q12" s="252" t="s">
        <v>6</v>
      </c>
      <c r="R12" s="187" t="s">
        <v>80</v>
      </c>
      <c r="S12" s="187" t="s">
        <v>82</v>
      </c>
      <c r="T12" s="187" t="s">
        <v>82</v>
      </c>
      <c r="U12" s="256" t="s">
        <v>67</v>
      </c>
      <c r="V12" s="187" t="s">
        <v>65</v>
      </c>
      <c r="W12" s="308" t="s">
        <v>67</v>
      </c>
      <c r="X12" s="309" t="s">
        <v>67</v>
      </c>
      <c r="Y12" s="187" t="s">
        <v>82</v>
      </c>
      <c r="Z12" s="187" t="s">
        <v>80</v>
      </c>
      <c r="AA12" s="187" t="s">
        <v>80</v>
      </c>
      <c r="AB12" s="187" t="s">
        <v>89</v>
      </c>
      <c r="AC12" s="187" t="s">
        <v>65</v>
      </c>
      <c r="AD12" s="308" t="s">
        <v>66</v>
      </c>
      <c r="AE12" s="34">
        <f t="shared" si="0"/>
        <v>14</v>
      </c>
      <c r="AF12" s="35">
        <f t="shared" si="19"/>
        <v>6</v>
      </c>
      <c r="AG12" s="104"/>
      <c r="AH12" s="105"/>
      <c r="AI12" s="106"/>
      <c r="AJ12" s="106"/>
      <c r="AK12" s="37">
        <f t="shared" si="1"/>
        <v>1</v>
      </c>
      <c r="AL12" s="26">
        <f t="shared" si="2"/>
        <v>2</v>
      </c>
      <c r="AM12" s="38">
        <f t="shared" si="3"/>
        <v>1</v>
      </c>
      <c r="AN12" s="38">
        <f t="shared" si="3"/>
        <v>2</v>
      </c>
      <c r="AO12" s="38">
        <f t="shared" si="4"/>
        <v>1</v>
      </c>
      <c r="AP12" s="38">
        <f t="shared" si="4"/>
        <v>2</v>
      </c>
      <c r="AQ12" s="38">
        <f t="shared" si="5"/>
        <v>1</v>
      </c>
      <c r="AR12" s="39">
        <f t="shared" si="5"/>
        <v>2</v>
      </c>
      <c r="AS12" s="244" t="s">
        <v>26</v>
      </c>
      <c r="AT12" s="17">
        <f t="shared" si="6"/>
        <v>0</v>
      </c>
      <c r="AU12" s="17">
        <f t="shared" si="7"/>
        <v>0</v>
      </c>
      <c r="AV12" s="17">
        <f t="shared" si="8"/>
        <v>0</v>
      </c>
      <c r="AW12" s="11">
        <f t="shared" si="9"/>
        <v>0</v>
      </c>
      <c r="AX12" s="11">
        <f t="shared" si="10"/>
        <v>1</v>
      </c>
      <c r="AY12" s="11">
        <f t="shared" si="11"/>
        <v>0</v>
      </c>
      <c r="AZ12" s="11">
        <f t="shared" si="12"/>
        <v>8</v>
      </c>
      <c r="BA12" s="11">
        <f t="shared" si="13"/>
        <v>0</v>
      </c>
      <c r="BB12" s="11">
        <f t="shared" si="20"/>
        <v>0</v>
      </c>
      <c r="BC12" s="11">
        <f t="shared" si="14"/>
        <v>1</v>
      </c>
      <c r="BD12" s="11">
        <f t="shared" si="15"/>
        <v>4</v>
      </c>
      <c r="BE12" s="28">
        <f t="shared" si="16"/>
        <v>14</v>
      </c>
      <c r="BF12" s="29">
        <f t="shared" si="17"/>
        <v>4</v>
      </c>
      <c r="BG12" s="11">
        <f t="shared" si="18"/>
        <v>14</v>
      </c>
    </row>
    <row r="13" spans="1:59" ht="17.25" thickBot="1">
      <c r="A13" s="40" t="s">
        <v>27</v>
      </c>
      <c r="B13" s="44"/>
      <c r="C13" s="309" t="s">
        <v>67</v>
      </c>
      <c r="D13" s="187" t="s">
        <v>82</v>
      </c>
      <c r="E13" s="256" t="s">
        <v>67</v>
      </c>
      <c r="F13" s="187" t="s">
        <v>80</v>
      </c>
      <c r="G13" s="187" t="s">
        <v>80</v>
      </c>
      <c r="H13" s="187" t="s">
        <v>80</v>
      </c>
      <c r="I13" s="308" t="s">
        <v>7</v>
      </c>
      <c r="J13" s="309" t="s">
        <v>82</v>
      </c>
      <c r="K13" s="187" t="s">
        <v>67</v>
      </c>
      <c r="L13" s="187" t="s">
        <v>67</v>
      </c>
      <c r="M13" s="187" t="s">
        <v>67</v>
      </c>
      <c r="N13" s="187" t="s">
        <v>67</v>
      </c>
      <c r="O13" s="187" t="s">
        <v>81</v>
      </c>
      <c r="P13" s="308" t="s">
        <v>7</v>
      </c>
      <c r="Q13" s="252" t="s">
        <v>82</v>
      </c>
      <c r="R13" s="258" t="s">
        <v>69</v>
      </c>
      <c r="S13" s="187" t="s">
        <v>66</v>
      </c>
      <c r="T13" s="187" t="s">
        <v>66</v>
      </c>
      <c r="U13" s="256" t="s">
        <v>80</v>
      </c>
      <c r="V13" s="187" t="s">
        <v>80</v>
      </c>
      <c r="W13" s="308" t="s">
        <v>7</v>
      </c>
      <c r="X13" s="309" t="s">
        <v>89</v>
      </c>
      <c r="Y13" s="187" t="s">
        <v>67</v>
      </c>
      <c r="Z13" s="187" t="s">
        <v>67</v>
      </c>
      <c r="AA13" s="187" t="s">
        <v>67</v>
      </c>
      <c r="AB13" s="187" t="s">
        <v>80</v>
      </c>
      <c r="AC13" s="258" t="s">
        <v>14</v>
      </c>
      <c r="AD13" s="308" t="s">
        <v>7</v>
      </c>
      <c r="AE13" s="116">
        <f t="shared" si="0"/>
        <v>11</v>
      </c>
      <c r="AF13" s="45">
        <f t="shared" si="19"/>
        <v>6</v>
      </c>
      <c r="AG13" s="104"/>
      <c r="AH13" s="105"/>
      <c r="AI13" s="106"/>
      <c r="AJ13" s="106"/>
      <c r="AK13" s="37">
        <f t="shared" si="1"/>
        <v>1</v>
      </c>
      <c r="AL13" s="26">
        <f t="shared" si="2"/>
        <v>1</v>
      </c>
      <c r="AM13" s="38">
        <f t="shared" si="3"/>
        <v>1</v>
      </c>
      <c r="AN13" s="38">
        <f t="shared" si="3"/>
        <v>1</v>
      </c>
      <c r="AO13" s="38">
        <f t="shared" si="4"/>
        <v>1</v>
      </c>
      <c r="AP13" s="38">
        <f t="shared" si="4"/>
        <v>1</v>
      </c>
      <c r="AQ13" s="38">
        <f t="shared" si="5"/>
        <v>1</v>
      </c>
      <c r="AR13" s="39">
        <f t="shared" si="5"/>
        <v>1</v>
      </c>
      <c r="AS13" s="40" t="s">
        <v>27</v>
      </c>
      <c r="AT13" s="17">
        <f t="shared" si="6"/>
        <v>0</v>
      </c>
      <c r="AU13" s="17">
        <f t="shared" si="7"/>
        <v>0</v>
      </c>
      <c r="AV13" s="17">
        <f t="shared" si="8"/>
        <v>0</v>
      </c>
      <c r="AW13" s="11">
        <f t="shared" si="9"/>
        <v>0</v>
      </c>
      <c r="AX13" s="11">
        <f t="shared" si="10"/>
        <v>1</v>
      </c>
      <c r="AY13" s="11">
        <f t="shared" si="11"/>
        <v>0</v>
      </c>
      <c r="AZ13" s="11">
        <f t="shared" si="12"/>
        <v>4</v>
      </c>
      <c r="BA13" s="11">
        <f t="shared" si="13"/>
        <v>2</v>
      </c>
      <c r="BB13" s="11">
        <f t="shared" si="20"/>
        <v>0</v>
      </c>
      <c r="BC13" s="11">
        <f t="shared" si="14"/>
        <v>0</v>
      </c>
      <c r="BD13" s="11">
        <f t="shared" si="15"/>
        <v>4</v>
      </c>
      <c r="BE13" s="28">
        <f t="shared" si="16"/>
        <v>11</v>
      </c>
      <c r="BF13" s="29">
        <f t="shared" si="17"/>
        <v>3</v>
      </c>
      <c r="BG13" s="11">
        <f t="shared" si="18"/>
        <v>11</v>
      </c>
    </row>
    <row r="14" spans="1:59" ht="17.25" thickBot="1">
      <c r="A14" s="143" t="s">
        <v>28</v>
      </c>
      <c r="B14" s="44"/>
      <c r="C14" s="309" t="s">
        <v>66</v>
      </c>
      <c r="D14" s="187" t="s">
        <v>66</v>
      </c>
      <c r="E14" s="256" t="s">
        <v>66</v>
      </c>
      <c r="F14" s="187" t="s">
        <v>65</v>
      </c>
      <c r="G14" s="187" t="s">
        <v>89</v>
      </c>
      <c r="H14" s="187" t="s">
        <v>67</v>
      </c>
      <c r="I14" s="308" t="s">
        <v>67</v>
      </c>
      <c r="J14" s="309" t="s">
        <v>80</v>
      </c>
      <c r="K14" s="187" t="s">
        <v>80</v>
      </c>
      <c r="L14" s="187" t="s">
        <v>82</v>
      </c>
      <c r="M14" s="187" t="s">
        <v>65</v>
      </c>
      <c r="N14" s="187" t="s">
        <v>67</v>
      </c>
      <c r="O14" s="187" t="s">
        <v>67</v>
      </c>
      <c r="P14" s="310" t="s">
        <v>67</v>
      </c>
      <c r="Q14" s="252" t="s">
        <v>86</v>
      </c>
      <c r="R14" s="258" t="s">
        <v>12</v>
      </c>
      <c r="S14" s="258" t="s">
        <v>90</v>
      </c>
      <c r="T14" s="187" t="s">
        <v>65</v>
      </c>
      <c r="U14" s="256" t="s">
        <v>66</v>
      </c>
      <c r="V14" s="187" t="s">
        <v>81</v>
      </c>
      <c r="W14" s="308" t="s">
        <v>67</v>
      </c>
      <c r="X14" s="309" t="s">
        <v>80</v>
      </c>
      <c r="Y14" s="187" t="s">
        <v>80</v>
      </c>
      <c r="Z14" s="187" t="s">
        <v>80</v>
      </c>
      <c r="AA14" s="187" t="s">
        <v>65</v>
      </c>
      <c r="AB14" s="187" t="s">
        <v>82</v>
      </c>
      <c r="AC14" s="187" t="s">
        <v>67</v>
      </c>
      <c r="AD14" s="308" t="s">
        <v>67</v>
      </c>
      <c r="AE14" s="117">
        <f t="shared" si="0"/>
        <v>11</v>
      </c>
      <c r="AF14" s="46">
        <f t="shared" si="19"/>
        <v>5</v>
      </c>
      <c r="AG14" s="104"/>
      <c r="AH14" s="105"/>
      <c r="AI14" s="106"/>
      <c r="AJ14" s="106"/>
      <c r="AK14" s="37">
        <f t="shared" si="1"/>
        <v>1</v>
      </c>
      <c r="AL14" s="26">
        <f t="shared" si="2"/>
        <v>1</v>
      </c>
      <c r="AM14" s="38">
        <f t="shared" si="3"/>
        <v>1</v>
      </c>
      <c r="AN14" s="38">
        <f t="shared" si="3"/>
        <v>1</v>
      </c>
      <c r="AO14" s="38">
        <f t="shared" si="4"/>
        <v>1</v>
      </c>
      <c r="AP14" s="38">
        <f t="shared" si="4"/>
        <v>1</v>
      </c>
      <c r="AQ14" s="38">
        <f t="shared" si="5"/>
        <v>1</v>
      </c>
      <c r="AR14" s="39">
        <f t="shared" si="5"/>
        <v>1</v>
      </c>
      <c r="AS14" s="143" t="s">
        <v>28</v>
      </c>
      <c r="AT14" s="17">
        <f t="shared" si="6"/>
        <v>0</v>
      </c>
      <c r="AU14" s="17">
        <f t="shared" si="7"/>
        <v>0</v>
      </c>
      <c r="AV14" s="17">
        <f t="shared" si="8"/>
        <v>0</v>
      </c>
      <c r="AW14" s="11">
        <f t="shared" si="9"/>
        <v>0</v>
      </c>
      <c r="AX14" s="11">
        <f t="shared" si="10"/>
        <v>1</v>
      </c>
      <c r="AY14" s="11">
        <f t="shared" si="11"/>
        <v>0</v>
      </c>
      <c r="AZ14" s="11">
        <f t="shared" si="12"/>
        <v>4</v>
      </c>
      <c r="BA14" s="11">
        <f t="shared" si="13"/>
        <v>1</v>
      </c>
      <c r="BB14" s="11">
        <f t="shared" si="20"/>
        <v>0</v>
      </c>
      <c r="BC14" s="11">
        <f t="shared" si="14"/>
        <v>1</v>
      </c>
      <c r="BD14" s="11">
        <f t="shared" si="15"/>
        <v>4</v>
      </c>
      <c r="BE14" s="28">
        <f t="shared" si="16"/>
        <v>11</v>
      </c>
      <c r="BF14" s="29">
        <f t="shared" si="17"/>
        <v>5</v>
      </c>
      <c r="BG14" s="11">
        <f t="shared" si="18"/>
        <v>11</v>
      </c>
    </row>
    <row r="15" spans="1:59" ht="17.25" thickBot="1">
      <c r="A15" s="169" t="s">
        <v>29</v>
      </c>
      <c r="B15" s="47"/>
      <c r="C15" s="311" t="s">
        <v>80</v>
      </c>
      <c r="D15" s="312" t="s">
        <v>82</v>
      </c>
      <c r="E15" s="313" t="s">
        <v>81</v>
      </c>
      <c r="F15" s="312" t="s">
        <v>67</v>
      </c>
      <c r="G15" s="314" t="s">
        <v>25</v>
      </c>
      <c r="H15" s="314" t="s">
        <v>12</v>
      </c>
      <c r="I15" s="315" t="s">
        <v>7</v>
      </c>
      <c r="J15" s="316" t="s">
        <v>14</v>
      </c>
      <c r="K15" s="314" t="s">
        <v>5</v>
      </c>
      <c r="L15" s="312" t="s">
        <v>67</v>
      </c>
      <c r="M15" s="312" t="s">
        <v>80</v>
      </c>
      <c r="N15" s="312" t="s">
        <v>80</v>
      </c>
      <c r="O15" s="312" t="s">
        <v>80</v>
      </c>
      <c r="P15" s="315" t="s">
        <v>7</v>
      </c>
      <c r="Q15" s="311" t="s">
        <v>82</v>
      </c>
      <c r="R15" s="312" t="s">
        <v>66</v>
      </c>
      <c r="S15" s="312" t="s">
        <v>67</v>
      </c>
      <c r="T15" s="312" t="s">
        <v>67</v>
      </c>
      <c r="U15" s="312" t="s">
        <v>67</v>
      </c>
      <c r="V15" s="312" t="s">
        <v>67</v>
      </c>
      <c r="W15" s="315" t="s">
        <v>7</v>
      </c>
      <c r="X15" s="311" t="s">
        <v>67</v>
      </c>
      <c r="Y15" s="312" t="s">
        <v>80</v>
      </c>
      <c r="Z15" s="312" t="s">
        <v>82</v>
      </c>
      <c r="AA15" s="312" t="s">
        <v>67</v>
      </c>
      <c r="AB15" s="312" t="s">
        <v>67</v>
      </c>
      <c r="AC15" s="312" t="s">
        <v>80</v>
      </c>
      <c r="AD15" s="315" t="s">
        <v>7</v>
      </c>
      <c r="AE15" s="119">
        <f t="shared" si="0"/>
        <v>11</v>
      </c>
      <c r="AF15" s="51">
        <f t="shared" si="19"/>
        <v>6</v>
      </c>
      <c r="AG15" s="104"/>
      <c r="AH15" s="105"/>
      <c r="AI15" s="106"/>
      <c r="AJ15" s="106"/>
      <c r="AK15" s="52">
        <f t="shared" si="1"/>
        <v>1</v>
      </c>
      <c r="AL15" s="26">
        <f t="shared" si="2"/>
        <v>1</v>
      </c>
      <c r="AM15" s="53">
        <f t="shared" si="3"/>
        <v>1</v>
      </c>
      <c r="AN15" s="53">
        <f t="shared" si="3"/>
        <v>1</v>
      </c>
      <c r="AO15" s="53">
        <f t="shared" si="4"/>
        <v>1</v>
      </c>
      <c r="AP15" s="53">
        <f t="shared" si="4"/>
        <v>1</v>
      </c>
      <c r="AQ15" s="53">
        <f t="shared" si="5"/>
        <v>1</v>
      </c>
      <c r="AR15" s="54">
        <f t="shared" si="5"/>
        <v>1</v>
      </c>
      <c r="AS15" s="169" t="s">
        <v>29</v>
      </c>
      <c r="AT15" s="17">
        <f t="shared" si="6"/>
        <v>0</v>
      </c>
      <c r="AU15" s="17">
        <f t="shared" si="7"/>
        <v>0</v>
      </c>
      <c r="AV15" s="17">
        <f t="shared" si="8"/>
        <v>0</v>
      </c>
      <c r="AW15" s="11">
        <f t="shared" si="9"/>
        <v>0</v>
      </c>
      <c r="AX15" s="11">
        <f t="shared" si="10"/>
        <v>1</v>
      </c>
      <c r="AY15" s="11">
        <f t="shared" si="11"/>
        <v>0</v>
      </c>
      <c r="AZ15" s="11">
        <f t="shared" si="12"/>
        <v>4</v>
      </c>
      <c r="BA15" s="11">
        <f t="shared" si="13"/>
        <v>2</v>
      </c>
      <c r="BB15" s="11">
        <f t="shared" si="20"/>
        <v>0</v>
      </c>
      <c r="BC15" s="11">
        <f t="shared" si="14"/>
        <v>0</v>
      </c>
      <c r="BD15" s="11">
        <f t="shared" si="15"/>
        <v>4</v>
      </c>
      <c r="BE15" s="28">
        <f t="shared" si="16"/>
        <v>11</v>
      </c>
      <c r="BF15" s="29">
        <f t="shared" si="17"/>
        <v>5</v>
      </c>
      <c r="BG15" s="11">
        <f t="shared" si="18"/>
        <v>11</v>
      </c>
    </row>
    <row r="16" spans="1:59" ht="17.25" thickBot="1">
      <c r="A16" s="245" t="s">
        <v>30</v>
      </c>
      <c r="B16" s="225"/>
      <c r="C16" s="253" t="s">
        <v>7</v>
      </c>
      <c r="D16" s="255" t="s">
        <v>91</v>
      </c>
      <c r="E16" s="317" t="s">
        <v>80</v>
      </c>
      <c r="F16" s="255" t="s">
        <v>80</v>
      </c>
      <c r="G16" s="318" t="s">
        <v>5</v>
      </c>
      <c r="H16" s="318" t="s">
        <v>82</v>
      </c>
      <c r="I16" s="319" t="s">
        <v>6</v>
      </c>
      <c r="J16" s="253" t="s">
        <v>7</v>
      </c>
      <c r="K16" s="255" t="s">
        <v>82</v>
      </c>
      <c r="L16" s="255" t="s">
        <v>82</v>
      </c>
      <c r="M16" s="320" t="s">
        <v>66</v>
      </c>
      <c r="N16" s="317" t="s">
        <v>66</v>
      </c>
      <c r="O16" s="255" t="s">
        <v>91</v>
      </c>
      <c r="P16" s="321" t="s">
        <v>81</v>
      </c>
      <c r="Q16" s="322" t="s">
        <v>7</v>
      </c>
      <c r="R16" s="317" t="s">
        <v>67</v>
      </c>
      <c r="S16" s="317" t="s">
        <v>80</v>
      </c>
      <c r="T16" s="317" t="s">
        <v>82</v>
      </c>
      <c r="U16" s="255" t="s">
        <v>82</v>
      </c>
      <c r="V16" s="255" t="s">
        <v>91</v>
      </c>
      <c r="W16" s="323" t="s">
        <v>66</v>
      </c>
      <c r="X16" s="253" t="s">
        <v>7</v>
      </c>
      <c r="Y16" s="255" t="s">
        <v>6</v>
      </c>
      <c r="Z16" s="318" t="s">
        <v>12</v>
      </c>
      <c r="AA16" s="318" t="s">
        <v>82</v>
      </c>
      <c r="AB16" s="255" t="s">
        <v>91</v>
      </c>
      <c r="AC16" s="318" t="s">
        <v>5</v>
      </c>
      <c r="AD16" s="336" t="s">
        <v>67</v>
      </c>
      <c r="AE16" s="389">
        <f t="shared" si="0"/>
        <v>14</v>
      </c>
      <c r="AF16" s="388">
        <f t="shared" si="19"/>
        <v>5</v>
      </c>
      <c r="AG16" s="107"/>
      <c r="AH16" s="108"/>
      <c r="AI16" s="109"/>
      <c r="AJ16" s="109"/>
      <c r="AK16" s="57">
        <f t="shared" si="1"/>
        <v>1</v>
      </c>
      <c r="AL16" s="58">
        <f t="shared" si="2"/>
        <v>2</v>
      </c>
      <c r="AM16" s="59">
        <f t="shared" si="3"/>
        <v>1</v>
      </c>
      <c r="AN16" s="59">
        <f t="shared" si="3"/>
        <v>2</v>
      </c>
      <c r="AO16" s="59">
        <f t="shared" si="4"/>
        <v>1</v>
      </c>
      <c r="AP16" s="59">
        <f t="shared" si="4"/>
        <v>2</v>
      </c>
      <c r="AQ16" s="59">
        <f t="shared" si="5"/>
        <v>1</v>
      </c>
      <c r="AR16" s="60">
        <f t="shared" si="5"/>
        <v>2</v>
      </c>
      <c r="AS16" s="245" t="s">
        <v>30</v>
      </c>
      <c r="AT16" s="17">
        <f t="shared" si="6"/>
        <v>0</v>
      </c>
      <c r="AU16" s="17">
        <f t="shared" si="7"/>
        <v>0</v>
      </c>
      <c r="AV16" s="17">
        <f t="shared" si="8"/>
        <v>0</v>
      </c>
      <c r="AW16" s="11">
        <f t="shared" si="9"/>
        <v>0</v>
      </c>
      <c r="AX16" s="11">
        <f t="shared" si="10"/>
        <v>1</v>
      </c>
      <c r="AY16" s="11">
        <f t="shared" si="11"/>
        <v>0</v>
      </c>
      <c r="AZ16" s="11">
        <f t="shared" si="12"/>
        <v>8</v>
      </c>
      <c r="BA16" s="11">
        <f t="shared" si="13"/>
        <v>1</v>
      </c>
      <c r="BB16" s="11">
        <f t="shared" si="20"/>
        <v>0</v>
      </c>
      <c r="BC16" s="11">
        <f t="shared" si="14"/>
        <v>0</v>
      </c>
      <c r="BD16" s="11">
        <f t="shared" si="15"/>
        <v>4</v>
      </c>
      <c r="BE16" s="28">
        <f t="shared" si="16"/>
        <v>14</v>
      </c>
      <c r="BF16" s="29">
        <f t="shared" si="17"/>
        <v>2</v>
      </c>
      <c r="BG16" s="11">
        <f t="shared" si="18"/>
        <v>14</v>
      </c>
    </row>
    <row r="17" spans="1:59" ht="17.25" thickBot="1">
      <c r="A17" s="144" t="s">
        <v>31</v>
      </c>
      <c r="B17" s="225"/>
      <c r="C17" s="309" t="s">
        <v>65</v>
      </c>
      <c r="D17" s="187" t="s">
        <v>67</v>
      </c>
      <c r="E17" s="256" t="s">
        <v>67</v>
      </c>
      <c r="F17" s="187" t="s">
        <v>67</v>
      </c>
      <c r="G17" s="187" t="s">
        <v>80</v>
      </c>
      <c r="H17" s="187" t="s">
        <v>80</v>
      </c>
      <c r="I17" s="308" t="s">
        <v>82</v>
      </c>
      <c r="J17" s="309" t="s">
        <v>65</v>
      </c>
      <c r="K17" s="187" t="s">
        <v>66</v>
      </c>
      <c r="L17" s="256" t="s">
        <v>67</v>
      </c>
      <c r="M17" s="256" t="s">
        <v>67</v>
      </c>
      <c r="N17" s="256" t="s">
        <v>82</v>
      </c>
      <c r="O17" s="256" t="s">
        <v>81</v>
      </c>
      <c r="P17" s="324" t="s">
        <v>80</v>
      </c>
      <c r="Q17" s="325" t="s">
        <v>65</v>
      </c>
      <c r="R17" s="256" t="s">
        <v>67</v>
      </c>
      <c r="S17" s="256" t="s">
        <v>82</v>
      </c>
      <c r="T17" s="256" t="s">
        <v>67</v>
      </c>
      <c r="U17" s="256" t="s">
        <v>80</v>
      </c>
      <c r="V17" s="256" t="s">
        <v>80</v>
      </c>
      <c r="W17" s="324" t="s">
        <v>80</v>
      </c>
      <c r="X17" s="309" t="s">
        <v>65</v>
      </c>
      <c r="Y17" s="187" t="s">
        <v>84</v>
      </c>
      <c r="Z17" s="187" t="s">
        <v>67</v>
      </c>
      <c r="AA17" s="187" t="s">
        <v>67</v>
      </c>
      <c r="AB17" s="187" t="s">
        <v>67</v>
      </c>
      <c r="AC17" s="187" t="s">
        <v>81</v>
      </c>
      <c r="AD17" s="340" t="s">
        <v>5</v>
      </c>
      <c r="AE17" s="118">
        <f t="shared" ref="AE17" si="21">SUM(AT17:BD17)</f>
        <v>11</v>
      </c>
      <c r="AF17" s="388">
        <f t="shared" ref="AF17" si="22">COUNTIF(C17:AD17,"N")</f>
        <v>6</v>
      </c>
      <c r="AG17" s="107"/>
      <c r="AH17" s="108"/>
      <c r="AI17" s="109"/>
      <c r="AJ17" s="109"/>
      <c r="AK17" s="57">
        <f t="shared" si="1"/>
        <v>1</v>
      </c>
      <c r="AL17" s="58">
        <f t="shared" si="2"/>
        <v>1</v>
      </c>
      <c r="AM17" s="59">
        <f t="shared" si="3"/>
        <v>1</v>
      </c>
      <c r="AN17" s="59">
        <f t="shared" si="3"/>
        <v>1</v>
      </c>
      <c r="AO17" s="59">
        <f t="shared" si="4"/>
        <v>1</v>
      </c>
      <c r="AP17" s="59">
        <f t="shared" si="4"/>
        <v>1</v>
      </c>
      <c r="AQ17" s="59">
        <f t="shared" si="5"/>
        <v>1</v>
      </c>
      <c r="AR17" s="60">
        <f t="shared" si="5"/>
        <v>1</v>
      </c>
      <c r="AS17" s="144" t="s">
        <v>31</v>
      </c>
      <c r="AT17" s="17">
        <f t="shared" ref="AT17" si="23">COUNTIF(C17:AD17,"특*")</f>
        <v>1</v>
      </c>
      <c r="AU17" s="17">
        <f t="shared" ref="AU17" si="24">COUNTIF(C17:AD17,"경가")</f>
        <v>0</v>
      </c>
      <c r="AV17" s="17">
        <f t="shared" ref="AV17" si="25">COUNTIF(C17:AD17,"병*")</f>
        <v>0</v>
      </c>
      <c r="AW17" s="11">
        <f t="shared" ref="AW17" si="26">COUNTIF(C17:AD17,"공*")</f>
        <v>0</v>
      </c>
      <c r="AX17" s="11">
        <f t="shared" ref="AX17" si="27">COUNTIF(C17:AD17,"생*")+COUNTIF(C17:AD17,"산전")+COUNTIF(C17:AD17,"검진")</f>
        <v>0</v>
      </c>
      <c r="AY17" s="11">
        <f t="shared" ref="AY17" si="28">COUNTIF(C17:AD17,"법*")</f>
        <v>0</v>
      </c>
      <c r="AZ17" s="11">
        <f t="shared" si="12"/>
        <v>4</v>
      </c>
      <c r="BA17" s="11">
        <f t="shared" ref="BA17" si="29">COUNTIF(C17:AD17,"VAC*")+COUNTIF(C17:AD17,"휴가")</f>
        <v>2</v>
      </c>
      <c r="BB17" s="11">
        <f t="shared" si="20"/>
        <v>0</v>
      </c>
      <c r="BC17" s="11">
        <f t="shared" si="14"/>
        <v>0</v>
      </c>
      <c r="BD17" s="11">
        <f t="shared" ref="BD17" si="30">COUNTIF(C17:AD17,"주")</f>
        <v>4</v>
      </c>
      <c r="BE17" s="28">
        <f t="shared" ref="BE17" si="31">SUM(AX17:BD17)</f>
        <v>10</v>
      </c>
      <c r="BF17" s="29">
        <f t="shared" ref="BF17" si="32">COUNTIF(J17:AD17,"N")</f>
        <v>4</v>
      </c>
      <c r="BG17" s="11">
        <f t="shared" ref="BG17" si="33">SUM(AU17:BD17)</f>
        <v>10</v>
      </c>
    </row>
    <row r="18" spans="1:59" ht="17.25" thickBot="1">
      <c r="A18" s="144" t="s">
        <v>32</v>
      </c>
      <c r="B18" s="225"/>
      <c r="C18" s="309" t="s">
        <v>82</v>
      </c>
      <c r="D18" s="326" t="s">
        <v>66</v>
      </c>
      <c r="E18" s="326" t="s">
        <v>66</v>
      </c>
      <c r="F18" s="258" t="s">
        <v>67</v>
      </c>
      <c r="G18" s="258" t="s">
        <v>67</v>
      </c>
      <c r="H18" s="187" t="s">
        <v>67</v>
      </c>
      <c r="I18" s="308" t="s">
        <v>65</v>
      </c>
      <c r="J18" s="309" t="s">
        <v>67</v>
      </c>
      <c r="K18" s="187" t="s">
        <v>67</v>
      </c>
      <c r="L18" s="187" t="s">
        <v>82</v>
      </c>
      <c r="M18" s="258" t="s">
        <v>67</v>
      </c>
      <c r="N18" s="258" t="s">
        <v>14</v>
      </c>
      <c r="O18" s="256" t="s">
        <v>66</v>
      </c>
      <c r="P18" s="308" t="s">
        <v>65</v>
      </c>
      <c r="Q18" s="252" t="s">
        <v>5</v>
      </c>
      <c r="R18" s="258" t="s">
        <v>12</v>
      </c>
      <c r="S18" s="256" t="s">
        <v>67</v>
      </c>
      <c r="T18" s="258" t="s">
        <v>80</v>
      </c>
      <c r="U18" s="258" t="s">
        <v>80</v>
      </c>
      <c r="V18" s="187" t="s">
        <v>80</v>
      </c>
      <c r="W18" s="308" t="s">
        <v>65</v>
      </c>
      <c r="X18" s="309" t="s">
        <v>89</v>
      </c>
      <c r="Y18" s="187" t="s">
        <v>66</v>
      </c>
      <c r="Z18" s="187" t="s">
        <v>66</v>
      </c>
      <c r="AA18" s="258" t="s">
        <v>67</v>
      </c>
      <c r="AB18" s="258" t="s">
        <v>14</v>
      </c>
      <c r="AC18" s="187" t="s">
        <v>66</v>
      </c>
      <c r="AD18" s="339" t="s">
        <v>65</v>
      </c>
      <c r="AE18" s="34">
        <f t="shared" ref="AE18:AE29" si="34">SUM(AT18:BD18)</f>
        <v>11</v>
      </c>
      <c r="AF18" s="35">
        <f t="shared" si="19"/>
        <v>3</v>
      </c>
      <c r="AG18" s="104"/>
      <c r="AH18" s="105"/>
      <c r="AI18" s="106"/>
      <c r="AJ18" s="106"/>
      <c r="AK18" s="37">
        <f t="shared" si="1"/>
        <v>1</v>
      </c>
      <c r="AL18" s="26">
        <f t="shared" si="2"/>
        <v>1</v>
      </c>
      <c r="AM18" s="38">
        <f t="shared" si="3"/>
        <v>1</v>
      </c>
      <c r="AN18" s="38">
        <f t="shared" si="3"/>
        <v>1</v>
      </c>
      <c r="AO18" s="38">
        <f t="shared" si="4"/>
        <v>1</v>
      </c>
      <c r="AP18" s="38">
        <f>COUNTIF($Q18:$W18,AP$6)</f>
        <v>1</v>
      </c>
      <c r="AQ18" s="38">
        <f t="shared" si="5"/>
        <v>1</v>
      </c>
      <c r="AR18" s="39">
        <f t="shared" si="5"/>
        <v>1</v>
      </c>
      <c r="AS18" s="144" t="s">
        <v>32</v>
      </c>
      <c r="AT18" s="17">
        <f t="shared" si="6"/>
        <v>0</v>
      </c>
      <c r="AU18" s="17">
        <f t="shared" si="7"/>
        <v>0</v>
      </c>
      <c r="AV18" s="17">
        <f t="shared" si="8"/>
        <v>0</v>
      </c>
      <c r="AW18" s="11">
        <f t="shared" si="9"/>
        <v>0</v>
      </c>
      <c r="AX18" s="11">
        <f t="shared" si="10"/>
        <v>1</v>
      </c>
      <c r="AY18" s="11">
        <f t="shared" si="11"/>
        <v>0</v>
      </c>
      <c r="AZ18" s="11">
        <f t="shared" si="12"/>
        <v>4</v>
      </c>
      <c r="BA18" s="11">
        <f t="shared" si="13"/>
        <v>2</v>
      </c>
      <c r="BB18" s="11">
        <f t="shared" si="20"/>
        <v>0</v>
      </c>
      <c r="BC18" s="11">
        <f t="shared" si="14"/>
        <v>0</v>
      </c>
      <c r="BD18" s="11">
        <f t="shared" si="15"/>
        <v>4</v>
      </c>
      <c r="BE18" s="28">
        <f t="shared" si="16"/>
        <v>11</v>
      </c>
      <c r="BF18" s="29">
        <f t="shared" si="17"/>
        <v>3</v>
      </c>
      <c r="BG18" s="11">
        <f t="shared" si="18"/>
        <v>11</v>
      </c>
    </row>
    <row r="19" spans="1:59" ht="17.25" thickBot="1">
      <c r="A19" s="144" t="s">
        <v>33</v>
      </c>
      <c r="B19" s="226"/>
      <c r="C19" s="309" t="s">
        <v>82</v>
      </c>
      <c r="D19" s="258" t="s">
        <v>67</v>
      </c>
      <c r="E19" s="187" t="s">
        <v>67</v>
      </c>
      <c r="F19" s="187" t="s">
        <v>67</v>
      </c>
      <c r="G19" s="187" t="s">
        <v>80</v>
      </c>
      <c r="H19" s="187" t="s">
        <v>7</v>
      </c>
      <c r="I19" s="308" t="s">
        <v>67</v>
      </c>
      <c r="J19" s="309" t="s">
        <v>67</v>
      </c>
      <c r="K19" s="258" t="s">
        <v>67</v>
      </c>
      <c r="L19" s="258" t="s">
        <v>5</v>
      </c>
      <c r="M19" s="258" t="s">
        <v>12</v>
      </c>
      <c r="N19" s="258" t="s">
        <v>67</v>
      </c>
      <c r="O19" s="187" t="s">
        <v>7</v>
      </c>
      <c r="P19" s="308" t="s">
        <v>66</v>
      </c>
      <c r="Q19" s="309" t="s">
        <v>66</v>
      </c>
      <c r="R19" s="187" t="s">
        <v>80</v>
      </c>
      <c r="S19" s="187" t="s">
        <v>80</v>
      </c>
      <c r="T19" s="187" t="s">
        <v>80</v>
      </c>
      <c r="U19" s="258" t="s">
        <v>14</v>
      </c>
      <c r="V19" s="187" t="s">
        <v>7</v>
      </c>
      <c r="W19" s="310" t="s">
        <v>5</v>
      </c>
      <c r="X19" s="252" t="s">
        <v>14</v>
      </c>
      <c r="Y19" s="258" t="s">
        <v>67</v>
      </c>
      <c r="Z19" s="187" t="s">
        <v>67</v>
      </c>
      <c r="AA19" s="187" t="s">
        <v>67</v>
      </c>
      <c r="AB19" s="258" t="s">
        <v>67</v>
      </c>
      <c r="AC19" s="187" t="s">
        <v>7</v>
      </c>
      <c r="AD19" s="340" t="s">
        <v>5</v>
      </c>
      <c r="AE19" s="118">
        <f t="shared" si="34"/>
        <v>11</v>
      </c>
      <c r="AF19" s="35">
        <f t="shared" si="19"/>
        <v>4</v>
      </c>
      <c r="AG19" s="104"/>
      <c r="AH19" s="105"/>
      <c r="AI19" s="106"/>
      <c r="AJ19" s="106"/>
      <c r="AK19" s="37">
        <f t="shared" si="1"/>
        <v>1</v>
      </c>
      <c r="AL19" s="26">
        <f t="shared" si="2"/>
        <v>1</v>
      </c>
      <c r="AM19" s="38">
        <f t="shared" si="3"/>
        <v>1</v>
      </c>
      <c r="AN19" s="38">
        <f t="shared" si="3"/>
        <v>1</v>
      </c>
      <c r="AO19" s="38">
        <f t="shared" si="4"/>
        <v>1</v>
      </c>
      <c r="AP19" s="38">
        <f t="shared" si="4"/>
        <v>1</v>
      </c>
      <c r="AQ19" s="38">
        <f t="shared" si="5"/>
        <v>1</v>
      </c>
      <c r="AR19" s="39">
        <f t="shared" si="5"/>
        <v>1</v>
      </c>
      <c r="AS19" s="144" t="s">
        <v>33</v>
      </c>
      <c r="AT19" s="17">
        <f t="shared" si="6"/>
        <v>0</v>
      </c>
      <c r="AU19" s="17">
        <f t="shared" si="7"/>
        <v>0</v>
      </c>
      <c r="AV19" s="17">
        <f t="shared" si="8"/>
        <v>0</v>
      </c>
      <c r="AW19" s="11">
        <f t="shared" si="9"/>
        <v>0</v>
      </c>
      <c r="AX19" s="11">
        <f t="shared" si="10"/>
        <v>1</v>
      </c>
      <c r="AY19" s="11">
        <f t="shared" si="11"/>
        <v>0</v>
      </c>
      <c r="AZ19" s="11">
        <f t="shared" si="12"/>
        <v>4</v>
      </c>
      <c r="BA19" s="11">
        <f t="shared" si="13"/>
        <v>2</v>
      </c>
      <c r="BB19" s="11">
        <f t="shared" si="20"/>
        <v>0</v>
      </c>
      <c r="BC19" s="11">
        <f t="shared" si="14"/>
        <v>0</v>
      </c>
      <c r="BD19" s="11">
        <f t="shared" si="15"/>
        <v>4</v>
      </c>
      <c r="BE19" s="28">
        <f t="shared" si="16"/>
        <v>11</v>
      </c>
      <c r="BF19" s="29">
        <f t="shared" si="17"/>
        <v>3</v>
      </c>
      <c r="BG19" s="11">
        <f t="shared" si="18"/>
        <v>11</v>
      </c>
    </row>
    <row r="20" spans="1:59" ht="17.25" thickBot="1">
      <c r="A20" s="144" t="s">
        <v>71</v>
      </c>
      <c r="B20" s="225"/>
      <c r="C20" s="309" t="s">
        <v>80</v>
      </c>
      <c r="D20" s="187" t="s">
        <v>82</v>
      </c>
      <c r="E20" s="187" t="s">
        <v>65</v>
      </c>
      <c r="F20" s="258" t="s">
        <v>99</v>
      </c>
      <c r="G20" s="258" t="s">
        <v>67</v>
      </c>
      <c r="H20" s="187" t="s">
        <v>67</v>
      </c>
      <c r="I20" s="308" t="s">
        <v>80</v>
      </c>
      <c r="J20" s="309" t="s">
        <v>80</v>
      </c>
      <c r="K20" s="187" t="s">
        <v>80</v>
      </c>
      <c r="L20" s="187" t="s">
        <v>65</v>
      </c>
      <c r="M20" s="258" t="s">
        <v>5</v>
      </c>
      <c r="N20" s="258" t="s">
        <v>67</v>
      </c>
      <c r="O20" s="187" t="s">
        <v>67</v>
      </c>
      <c r="P20" s="308" t="s">
        <v>67</v>
      </c>
      <c r="Q20" s="309" t="s">
        <v>67</v>
      </c>
      <c r="R20" s="187" t="s">
        <v>67</v>
      </c>
      <c r="S20" s="187" t="s">
        <v>65</v>
      </c>
      <c r="T20" s="258" t="s">
        <v>67</v>
      </c>
      <c r="U20" s="258" t="s">
        <v>67</v>
      </c>
      <c r="V20" s="258" t="s">
        <v>67</v>
      </c>
      <c r="W20" s="310" t="s">
        <v>82</v>
      </c>
      <c r="X20" s="258" t="s">
        <v>12</v>
      </c>
      <c r="Y20" s="187" t="s">
        <v>67</v>
      </c>
      <c r="Z20" s="187" t="s">
        <v>65</v>
      </c>
      <c r="AA20" s="258" t="s">
        <v>80</v>
      </c>
      <c r="AB20" s="258" t="s">
        <v>80</v>
      </c>
      <c r="AC20" s="187" t="s">
        <v>84</v>
      </c>
      <c r="AD20" s="339" t="s">
        <v>82</v>
      </c>
      <c r="AE20" s="34">
        <f t="shared" si="34"/>
        <v>11</v>
      </c>
      <c r="AF20" s="35">
        <f t="shared" si="19"/>
        <v>6</v>
      </c>
      <c r="AG20" s="104"/>
      <c r="AH20" s="105"/>
      <c r="AI20" s="106"/>
      <c r="AJ20" s="106"/>
      <c r="AK20" s="37">
        <f t="shared" si="1"/>
        <v>1</v>
      </c>
      <c r="AL20" s="26">
        <f t="shared" si="2"/>
        <v>1</v>
      </c>
      <c r="AM20" s="38">
        <f t="shared" si="3"/>
        <v>1</v>
      </c>
      <c r="AN20" s="38">
        <f t="shared" si="3"/>
        <v>1</v>
      </c>
      <c r="AO20" s="38">
        <f t="shared" si="4"/>
        <v>1</v>
      </c>
      <c r="AP20" s="38">
        <f t="shared" si="4"/>
        <v>1</v>
      </c>
      <c r="AQ20" s="38">
        <f t="shared" si="5"/>
        <v>1</v>
      </c>
      <c r="AR20" s="39">
        <f t="shared" si="5"/>
        <v>1</v>
      </c>
      <c r="AS20" s="144" t="s">
        <v>71</v>
      </c>
      <c r="AT20" s="17">
        <f t="shared" si="6"/>
        <v>1</v>
      </c>
      <c r="AU20" s="17">
        <f t="shared" si="7"/>
        <v>0</v>
      </c>
      <c r="AV20" s="17">
        <f t="shared" si="8"/>
        <v>0</v>
      </c>
      <c r="AW20" s="11">
        <f t="shared" si="9"/>
        <v>0</v>
      </c>
      <c r="AX20" s="11">
        <f t="shared" si="10"/>
        <v>1</v>
      </c>
      <c r="AY20" s="11">
        <f t="shared" si="11"/>
        <v>0</v>
      </c>
      <c r="AZ20" s="11">
        <f t="shared" si="12"/>
        <v>4</v>
      </c>
      <c r="BA20" s="11">
        <f t="shared" si="13"/>
        <v>0</v>
      </c>
      <c r="BB20" s="11">
        <f t="shared" si="20"/>
        <v>0</v>
      </c>
      <c r="BC20" s="11">
        <f t="shared" si="14"/>
        <v>1</v>
      </c>
      <c r="BD20" s="11">
        <f t="shared" si="15"/>
        <v>4</v>
      </c>
      <c r="BE20" s="28">
        <f t="shared" si="16"/>
        <v>10</v>
      </c>
      <c r="BF20" s="29">
        <f t="shared" si="17"/>
        <v>4</v>
      </c>
      <c r="BG20" s="11">
        <f t="shared" si="18"/>
        <v>10</v>
      </c>
    </row>
    <row r="21" spans="1:59" ht="17.25" thickBot="1">
      <c r="A21" s="144" t="s">
        <v>34</v>
      </c>
      <c r="B21" s="227"/>
      <c r="C21" s="309" t="s">
        <v>67</v>
      </c>
      <c r="D21" s="187" t="s">
        <v>67</v>
      </c>
      <c r="E21" s="187" t="s">
        <v>67</v>
      </c>
      <c r="F21" s="187" t="s">
        <v>7</v>
      </c>
      <c r="G21" s="326" t="s">
        <v>66</v>
      </c>
      <c r="H21" s="258" t="s">
        <v>6</v>
      </c>
      <c r="I21" s="310" t="s">
        <v>5</v>
      </c>
      <c r="J21" s="252" t="s">
        <v>14</v>
      </c>
      <c r="K21" s="258" t="s">
        <v>6</v>
      </c>
      <c r="L21" s="187" t="s">
        <v>80</v>
      </c>
      <c r="M21" s="187" t="s">
        <v>7</v>
      </c>
      <c r="N21" s="187" t="s">
        <v>82</v>
      </c>
      <c r="O21" s="187" t="s">
        <v>66</v>
      </c>
      <c r="P21" s="308" t="s">
        <v>66</v>
      </c>
      <c r="Q21" s="325" t="s">
        <v>66</v>
      </c>
      <c r="R21" s="256" t="s">
        <v>67</v>
      </c>
      <c r="S21" s="256" t="s">
        <v>67</v>
      </c>
      <c r="T21" s="256" t="s">
        <v>7</v>
      </c>
      <c r="U21" s="256" t="s">
        <v>82</v>
      </c>
      <c r="V21" s="256" t="s">
        <v>66</v>
      </c>
      <c r="W21" s="308" t="s">
        <v>66</v>
      </c>
      <c r="X21" s="252" t="s">
        <v>14</v>
      </c>
      <c r="Y21" s="258" t="s">
        <v>5</v>
      </c>
      <c r="Z21" s="258" t="s">
        <v>12</v>
      </c>
      <c r="AA21" s="187" t="s">
        <v>7</v>
      </c>
      <c r="AB21" s="187" t="s">
        <v>67</v>
      </c>
      <c r="AC21" s="187" t="s">
        <v>80</v>
      </c>
      <c r="AD21" s="339" t="s">
        <v>80</v>
      </c>
      <c r="AE21" s="34">
        <f t="shared" si="34"/>
        <v>11</v>
      </c>
      <c r="AF21" s="35">
        <f t="shared" si="19"/>
        <v>5</v>
      </c>
      <c r="AG21" s="104"/>
      <c r="AH21" s="105"/>
      <c r="AI21" s="106"/>
      <c r="AJ21" s="106"/>
      <c r="AK21" s="37">
        <f t="shared" si="1"/>
        <v>1</v>
      </c>
      <c r="AL21" s="26">
        <f t="shared" si="2"/>
        <v>1</v>
      </c>
      <c r="AM21" s="38">
        <f t="shared" si="3"/>
        <v>1</v>
      </c>
      <c r="AN21" s="38">
        <f t="shared" si="3"/>
        <v>1</v>
      </c>
      <c r="AO21" s="38">
        <f t="shared" si="4"/>
        <v>1</v>
      </c>
      <c r="AP21" s="38">
        <f t="shared" si="4"/>
        <v>1</v>
      </c>
      <c r="AQ21" s="38">
        <f t="shared" si="5"/>
        <v>1</v>
      </c>
      <c r="AR21" s="39">
        <f t="shared" si="5"/>
        <v>1</v>
      </c>
      <c r="AS21" s="144" t="s">
        <v>34</v>
      </c>
      <c r="AT21" s="17">
        <f t="shared" si="6"/>
        <v>0</v>
      </c>
      <c r="AU21" s="17">
        <f t="shared" si="7"/>
        <v>0</v>
      </c>
      <c r="AV21" s="17">
        <f t="shared" si="8"/>
        <v>0</v>
      </c>
      <c r="AW21" s="11">
        <f t="shared" si="9"/>
        <v>0</v>
      </c>
      <c r="AX21" s="11">
        <f t="shared" si="10"/>
        <v>1</v>
      </c>
      <c r="AY21" s="11">
        <f t="shared" si="11"/>
        <v>0</v>
      </c>
      <c r="AZ21" s="11">
        <f t="shared" si="12"/>
        <v>4</v>
      </c>
      <c r="BA21" s="11">
        <f t="shared" si="13"/>
        <v>2</v>
      </c>
      <c r="BB21" s="11">
        <f t="shared" si="20"/>
        <v>0</v>
      </c>
      <c r="BC21" s="11">
        <f t="shared" si="14"/>
        <v>0</v>
      </c>
      <c r="BD21" s="11">
        <f t="shared" si="15"/>
        <v>4</v>
      </c>
      <c r="BE21" s="28">
        <f t="shared" si="16"/>
        <v>11</v>
      </c>
      <c r="BF21" s="29">
        <f t="shared" si="17"/>
        <v>4</v>
      </c>
      <c r="BG21" s="11">
        <f t="shared" si="18"/>
        <v>11</v>
      </c>
    </row>
    <row r="22" spans="1:59" ht="17.25" thickBot="1">
      <c r="A22" s="246" t="s">
        <v>35</v>
      </c>
      <c r="B22" s="167"/>
      <c r="C22" s="252" t="s">
        <v>5</v>
      </c>
      <c r="D22" s="187" t="s">
        <v>7</v>
      </c>
      <c r="E22" s="187" t="s">
        <v>82</v>
      </c>
      <c r="F22" s="187" t="s">
        <v>66</v>
      </c>
      <c r="G22" s="187" t="s">
        <v>67</v>
      </c>
      <c r="H22" s="187" t="s">
        <v>67</v>
      </c>
      <c r="I22" s="308" t="s">
        <v>67</v>
      </c>
      <c r="J22" s="309" t="s">
        <v>82</v>
      </c>
      <c r="K22" s="187" t="s">
        <v>7</v>
      </c>
      <c r="L22" s="258" t="s">
        <v>12</v>
      </c>
      <c r="M22" s="258" t="s">
        <v>6</v>
      </c>
      <c r="N22" s="187" t="s">
        <v>80</v>
      </c>
      <c r="O22" s="187" t="s">
        <v>80</v>
      </c>
      <c r="P22" s="308" t="s">
        <v>82</v>
      </c>
      <c r="Q22" s="309" t="s">
        <v>82</v>
      </c>
      <c r="R22" s="187" t="s">
        <v>7</v>
      </c>
      <c r="S22" s="187" t="s">
        <v>66</v>
      </c>
      <c r="T22" s="187" t="s">
        <v>66</v>
      </c>
      <c r="U22" s="256" t="s">
        <v>67</v>
      </c>
      <c r="V22" s="187" t="s">
        <v>82</v>
      </c>
      <c r="W22" s="308" t="s">
        <v>80</v>
      </c>
      <c r="X22" s="252" t="s">
        <v>6</v>
      </c>
      <c r="Y22" s="187" t="s">
        <v>7</v>
      </c>
      <c r="Z22" s="258" t="s">
        <v>90</v>
      </c>
      <c r="AA22" s="258" t="s">
        <v>5</v>
      </c>
      <c r="AB22" s="258" t="s">
        <v>5</v>
      </c>
      <c r="AC22" s="187" t="s">
        <v>67</v>
      </c>
      <c r="AD22" s="339" t="s">
        <v>67</v>
      </c>
      <c r="AE22" s="34">
        <f t="shared" si="34"/>
        <v>14</v>
      </c>
      <c r="AF22" s="24">
        <f>COUNTIF(C22:AD22,"N")</f>
        <v>5</v>
      </c>
      <c r="AG22" s="104"/>
      <c r="AH22" s="105"/>
      <c r="AI22" s="106"/>
      <c r="AJ22" s="106"/>
      <c r="AK22" s="37">
        <f t="shared" si="1"/>
        <v>1</v>
      </c>
      <c r="AL22" s="26">
        <f t="shared" si="2"/>
        <v>2</v>
      </c>
      <c r="AM22" s="38">
        <f t="shared" si="3"/>
        <v>1</v>
      </c>
      <c r="AN22" s="38">
        <f t="shared" si="3"/>
        <v>2</v>
      </c>
      <c r="AO22" s="38">
        <f t="shared" si="4"/>
        <v>1</v>
      </c>
      <c r="AP22" s="38">
        <f t="shared" si="4"/>
        <v>2</v>
      </c>
      <c r="AQ22" s="38">
        <f t="shared" si="5"/>
        <v>1</v>
      </c>
      <c r="AR22" s="39">
        <f t="shared" si="5"/>
        <v>2</v>
      </c>
      <c r="AS22" s="246" t="s">
        <v>35</v>
      </c>
      <c r="AT22" s="17">
        <f t="shared" si="6"/>
        <v>0</v>
      </c>
      <c r="AU22" s="17">
        <f t="shared" si="7"/>
        <v>0</v>
      </c>
      <c r="AV22" s="17">
        <f t="shared" si="8"/>
        <v>0</v>
      </c>
      <c r="AW22" s="11">
        <f t="shared" si="9"/>
        <v>0</v>
      </c>
      <c r="AX22" s="11">
        <f t="shared" si="10"/>
        <v>1</v>
      </c>
      <c r="AY22" s="11">
        <f t="shared" si="11"/>
        <v>0</v>
      </c>
      <c r="AZ22" s="11">
        <f t="shared" si="12"/>
        <v>8</v>
      </c>
      <c r="BA22" s="11">
        <f t="shared" si="13"/>
        <v>0</v>
      </c>
      <c r="BB22" s="11">
        <f t="shared" si="20"/>
        <v>0</v>
      </c>
      <c r="BC22" s="11">
        <f t="shared" si="14"/>
        <v>1</v>
      </c>
      <c r="BD22" s="11">
        <f t="shared" si="15"/>
        <v>4</v>
      </c>
      <c r="BE22" s="28">
        <f t="shared" si="16"/>
        <v>14</v>
      </c>
      <c r="BF22" s="29">
        <f t="shared" si="17"/>
        <v>5</v>
      </c>
      <c r="BG22" s="11">
        <f t="shared" si="18"/>
        <v>14</v>
      </c>
    </row>
    <row r="23" spans="1:59" ht="17.25" thickBot="1">
      <c r="A23" s="144" t="s">
        <v>72</v>
      </c>
      <c r="B23" s="226"/>
      <c r="C23" s="252" t="s">
        <v>5</v>
      </c>
      <c r="D23" s="187" t="s">
        <v>66</v>
      </c>
      <c r="E23" s="187" t="s">
        <v>66</v>
      </c>
      <c r="F23" s="187" t="s">
        <v>66</v>
      </c>
      <c r="G23" s="187" t="s">
        <v>65</v>
      </c>
      <c r="H23" s="326" t="s">
        <v>66</v>
      </c>
      <c r="I23" s="310" t="s">
        <v>8</v>
      </c>
      <c r="J23" s="252" t="s">
        <v>6</v>
      </c>
      <c r="K23" s="187" t="s">
        <v>80</v>
      </c>
      <c r="L23" s="187" t="s">
        <v>80</v>
      </c>
      <c r="M23" s="187" t="s">
        <v>82</v>
      </c>
      <c r="N23" s="256" t="s">
        <v>65</v>
      </c>
      <c r="O23" s="256" t="s">
        <v>67</v>
      </c>
      <c r="P23" s="324" t="s">
        <v>67</v>
      </c>
      <c r="Q23" s="325" t="s">
        <v>80</v>
      </c>
      <c r="R23" s="256" t="s">
        <v>80</v>
      </c>
      <c r="S23" s="256" t="s">
        <v>82</v>
      </c>
      <c r="T23" s="256" t="s">
        <v>81</v>
      </c>
      <c r="U23" s="256" t="s">
        <v>65</v>
      </c>
      <c r="V23" s="256" t="s">
        <v>66</v>
      </c>
      <c r="W23" s="324" t="s">
        <v>66</v>
      </c>
      <c r="X23" s="325" t="s">
        <v>66</v>
      </c>
      <c r="Y23" s="256" t="s">
        <v>66</v>
      </c>
      <c r="Z23" s="256" t="s">
        <v>66</v>
      </c>
      <c r="AA23" s="256" t="s">
        <v>80</v>
      </c>
      <c r="AB23" s="187" t="s">
        <v>65</v>
      </c>
      <c r="AC23" s="258" t="s">
        <v>92</v>
      </c>
      <c r="AD23" s="340" t="s">
        <v>5</v>
      </c>
      <c r="AE23" s="34">
        <f t="shared" si="34"/>
        <v>11</v>
      </c>
      <c r="AF23" s="24">
        <f t="shared" si="19"/>
        <v>6</v>
      </c>
      <c r="AG23" s="104"/>
      <c r="AH23" s="105"/>
      <c r="AI23" s="106"/>
      <c r="AJ23" s="106"/>
      <c r="AK23" s="37">
        <f t="shared" si="1"/>
        <v>1</v>
      </c>
      <c r="AL23" s="26">
        <f t="shared" si="2"/>
        <v>1</v>
      </c>
      <c r="AM23" s="38">
        <f t="shared" si="3"/>
        <v>1</v>
      </c>
      <c r="AN23" s="38">
        <f t="shared" si="3"/>
        <v>1</v>
      </c>
      <c r="AO23" s="38">
        <f t="shared" si="4"/>
        <v>1</v>
      </c>
      <c r="AP23" s="38">
        <f t="shared" si="4"/>
        <v>1</v>
      </c>
      <c r="AQ23" s="38">
        <f t="shared" si="5"/>
        <v>1</v>
      </c>
      <c r="AR23" s="39">
        <f t="shared" si="5"/>
        <v>1</v>
      </c>
      <c r="AS23" s="144" t="s">
        <v>72</v>
      </c>
      <c r="AT23" s="17">
        <f t="shared" si="6"/>
        <v>1</v>
      </c>
      <c r="AU23" s="17">
        <f t="shared" si="7"/>
        <v>0</v>
      </c>
      <c r="AV23" s="17">
        <f t="shared" si="8"/>
        <v>0</v>
      </c>
      <c r="AW23" s="11">
        <f t="shared" si="9"/>
        <v>0</v>
      </c>
      <c r="AX23" s="11">
        <f t="shared" si="10"/>
        <v>0</v>
      </c>
      <c r="AY23" s="11">
        <f t="shared" si="11"/>
        <v>0</v>
      </c>
      <c r="AZ23" s="11">
        <f t="shared" si="12"/>
        <v>4</v>
      </c>
      <c r="BA23" s="11">
        <f t="shared" si="13"/>
        <v>1</v>
      </c>
      <c r="BB23" s="11">
        <f t="shared" si="20"/>
        <v>0</v>
      </c>
      <c r="BC23" s="11">
        <f t="shared" si="14"/>
        <v>1</v>
      </c>
      <c r="BD23" s="11">
        <f t="shared" si="15"/>
        <v>4</v>
      </c>
      <c r="BE23" s="28">
        <f t="shared" si="16"/>
        <v>10</v>
      </c>
      <c r="BF23" s="29">
        <f t="shared" si="17"/>
        <v>6</v>
      </c>
      <c r="BG23" s="11">
        <f t="shared" si="18"/>
        <v>10</v>
      </c>
    </row>
    <row r="24" spans="1:59">
      <c r="A24" s="144" t="s">
        <v>73</v>
      </c>
      <c r="B24" s="227"/>
      <c r="C24" s="252" t="s">
        <v>5</v>
      </c>
      <c r="D24" s="187" t="s">
        <v>84</v>
      </c>
      <c r="E24" s="187" t="s">
        <v>66</v>
      </c>
      <c r="F24" s="187" t="s">
        <v>67</v>
      </c>
      <c r="G24" s="187" t="s">
        <v>67</v>
      </c>
      <c r="H24" s="187" t="s">
        <v>65</v>
      </c>
      <c r="I24" s="308" t="s">
        <v>66</v>
      </c>
      <c r="J24" s="309" t="s">
        <v>66</v>
      </c>
      <c r="K24" s="326" t="s">
        <v>66</v>
      </c>
      <c r="L24" s="187" t="s">
        <v>67</v>
      </c>
      <c r="M24" s="187" t="s">
        <v>67</v>
      </c>
      <c r="N24" s="187" t="s">
        <v>82</v>
      </c>
      <c r="O24" s="187" t="s">
        <v>65</v>
      </c>
      <c r="P24" s="310" t="s">
        <v>67</v>
      </c>
      <c r="Q24" s="325" t="s">
        <v>80</v>
      </c>
      <c r="R24" s="256" t="s">
        <v>80</v>
      </c>
      <c r="S24" s="256" t="s">
        <v>80</v>
      </c>
      <c r="T24" s="256" t="s">
        <v>81</v>
      </c>
      <c r="U24" s="258" t="s">
        <v>5</v>
      </c>
      <c r="V24" s="187" t="s">
        <v>65</v>
      </c>
      <c r="W24" s="308" t="s">
        <v>69</v>
      </c>
      <c r="X24" s="325" t="s">
        <v>66</v>
      </c>
      <c r="Y24" s="256" t="s">
        <v>25</v>
      </c>
      <c r="Z24" s="256" t="s">
        <v>6</v>
      </c>
      <c r="AA24" s="187" t="s">
        <v>80</v>
      </c>
      <c r="AB24" s="187" t="s">
        <v>80</v>
      </c>
      <c r="AC24" s="187" t="s">
        <v>65</v>
      </c>
      <c r="AD24" s="339" t="s">
        <v>82</v>
      </c>
      <c r="AE24" s="34">
        <f t="shared" si="34"/>
        <v>11</v>
      </c>
      <c r="AF24" s="35">
        <f t="shared" si="19"/>
        <v>6</v>
      </c>
      <c r="AG24" s="104"/>
      <c r="AH24" s="105"/>
      <c r="AI24" s="106"/>
      <c r="AJ24" s="106"/>
      <c r="AK24" s="37">
        <f t="shared" si="1"/>
        <v>1</v>
      </c>
      <c r="AL24" s="26">
        <f t="shared" si="2"/>
        <v>1</v>
      </c>
      <c r="AM24" s="38">
        <f t="shared" ref="AM24:AN38" si="35">COUNTIF($J24:$P24,AM$6)</f>
        <v>1</v>
      </c>
      <c r="AN24" s="38">
        <f t="shared" si="35"/>
        <v>1</v>
      </c>
      <c r="AO24" s="38">
        <f t="shared" ref="AO24:AP38" si="36">COUNTIF($Q24:$W24,AO$6)</f>
        <v>1</v>
      </c>
      <c r="AP24" s="38">
        <f t="shared" si="36"/>
        <v>1</v>
      </c>
      <c r="AQ24" s="38">
        <f t="shared" ref="AQ24:AR38" si="37">COUNTIF($X24:$AD24,AQ$6)</f>
        <v>1</v>
      </c>
      <c r="AR24" s="39">
        <f t="shared" si="37"/>
        <v>1</v>
      </c>
      <c r="AS24" s="144" t="s">
        <v>73</v>
      </c>
      <c r="AT24" s="17">
        <f t="shared" si="6"/>
        <v>1</v>
      </c>
      <c r="AU24" s="17">
        <f t="shared" si="7"/>
        <v>0</v>
      </c>
      <c r="AV24" s="17">
        <f t="shared" si="8"/>
        <v>0</v>
      </c>
      <c r="AW24" s="11">
        <f t="shared" si="9"/>
        <v>0</v>
      </c>
      <c r="AX24" s="11">
        <f t="shared" si="10"/>
        <v>1</v>
      </c>
      <c r="AY24" s="11">
        <f t="shared" si="11"/>
        <v>0</v>
      </c>
      <c r="AZ24" s="11">
        <f t="shared" si="12"/>
        <v>4</v>
      </c>
      <c r="BA24" s="11">
        <f t="shared" si="13"/>
        <v>1</v>
      </c>
      <c r="BB24" s="11">
        <f t="shared" si="20"/>
        <v>0</v>
      </c>
      <c r="BC24" s="11">
        <f t="shared" si="14"/>
        <v>0</v>
      </c>
      <c r="BD24" s="11">
        <f t="shared" si="15"/>
        <v>4</v>
      </c>
      <c r="BE24" s="28">
        <f t="shared" si="16"/>
        <v>10</v>
      </c>
      <c r="BF24" s="29">
        <f t="shared" si="17"/>
        <v>6</v>
      </c>
      <c r="BG24" s="11">
        <f t="shared" si="18"/>
        <v>10</v>
      </c>
    </row>
    <row r="25" spans="1:59">
      <c r="A25" s="144" t="s">
        <v>36</v>
      </c>
      <c r="B25" s="226"/>
      <c r="C25" s="309" t="s">
        <v>67</v>
      </c>
      <c r="D25" s="187" t="s">
        <v>7</v>
      </c>
      <c r="E25" s="258" t="s">
        <v>5</v>
      </c>
      <c r="F25" s="258" t="s">
        <v>12</v>
      </c>
      <c r="G25" s="258" t="s">
        <v>25</v>
      </c>
      <c r="H25" s="187" t="s">
        <v>67</v>
      </c>
      <c r="I25" s="308" t="s">
        <v>67</v>
      </c>
      <c r="J25" s="309" t="s">
        <v>80</v>
      </c>
      <c r="K25" s="187" t="s">
        <v>7</v>
      </c>
      <c r="L25" s="187" t="s">
        <v>67</v>
      </c>
      <c r="M25" s="187" t="s">
        <v>67</v>
      </c>
      <c r="N25" s="187" t="s">
        <v>80</v>
      </c>
      <c r="O25" s="187" t="s">
        <v>89</v>
      </c>
      <c r="P25" s="324" t="s">
        <v>67</v>
      </c>
      <c r="Q25" s="309" t="s">
        <v>67</v>
      </c>
      <c r="R25" s="187" t="s">
        <v>7</v>
      </c>
      <c r="S25" s="187" t="s">
        <v>66</v>
      </c>
      <c r="T25" s="187" t="s">
        <v>66</v>
      </c>
      <c r="U25" s="187" t="s">
        <v>80</v>
      </c>
      <c r="V25" s="187" t="s">
        <v>82</v>
      </c>
      <c r="W25" s="308" t="s">
        <v>81</v>
      </c>
      <c r="X25" s="252" t="s">
        <v>25</v>
      </c>
      <c r="Y25" s="187" t="s">
        <v>7</v>
      </c>
      <c r="Z25" s="258" t="s">
        <v>5</v>
      </c>
      <c r="AA25" s="258" t="s">
        <v>90</v>
      </c>
      <c r="AB25" s="258" t="s">
        <v>6</v>
      </c>
      <c r="AC25" s="187" t="s">
        <v>80</v>
      </c>
      <c r="AD25" s="339" t="s">
        <v>80</v>
      </c>
      <c r="AE25" s="118">
        <f t="shared" si="34"/>
        <v>11</v>
      </c>
      <c r="AF25" s="24">
        <f t="shared" si="19"/>
        <v>6</v>
      </c>
      <c r="AG25" s="104"/>
      <c r="AH25" s="105"/>
      <c r="AI25" s="106"/>
      <c r="AJ25" s="106"/>
      <c r="AK25" s="65">
        <f t="shared" si="1"/>
        <v>1</v>
      </c>
      <c r="AL25" s="66">
        <f t="shared" si="2"/>
        <v>1</v>
      </c>
      <c r="AM25" s="67">
        <f t="shared" si="35"/>
        <v>1</v>
      </c>
      <c r="AN25" s="67">
        <f t="shared" si="35"/>
        <v>1</v>
      </c>
      <c r="AO25" s="67">
        <f t="shared" si="36"/>
        <v>1</v>
      </c>
      <c r="AP25" s="67">
        <f t="shared" si="36"/>
        <v>1</v>
      </c>
      <c r="AQ25" s="67">
        <f t="shared" si="37"/>
        <v>1</v>
      </c>
      <c r="AR25" s="68">
        <f t="shared" si="37"/>
        <v>1</v>
      </c>
      <c r="AS25" s="144" t="s">
        <v>36</v>
      </c>
      <c r="AT25" s="17">
        <f t="shared" si="6"/>
        <v>0</v>
      </c>
      <c r="AU25" s="17">
        <f t="shared" si="7"/>
        <v>0</v>
      </c>
      <c r="AV25" s="17">
        <f t="shared" si="8"/>
        <v>0</v>
      </c>
      <c r="AW25" s="11">
        <f t="shared" si="9"/>
        <v>0</v>
      </c>
      <c r="AX25" s="11">
        <f t="shared" si="10"/>
        <v>1</v>
      </c>
      <c r="AY25" s="11">
        <f t="shared" si="11"/>
        <v>0</v>
      </c>
      <c r="AZ25" s="11">
        <f t="shared" si="12"/>
        <v>4</v>
      </c>
      <c r="BA25" s="11">
        <f t="shared" si="13"/>
        <v>1</v>
      </c>
      <c r="BB25" s="11">
        <f t="shared" si="20"/>
        <v>0</v>
      </c>
      <c r="BC25" s="11">
        <f t="shared" si="14"/>
        <v>1</v>
      </c>
      <c r="BD25" s="11">
        <f t="shared" si="15"/>
        <v>4</v>
      </c>
      <c r="BE25" s="28">
        <f t="shared" si="16"/>
        <v>11</v>
      </c>
      <c r="BF25" s="29">
        <f t="shared" si="17"/>
        <v>6</v>
      </c>
      <c r="BG25" s="11">
        <f t="shared" si="18"/>
        <v>11</v>
      </c>
    </row>
    <row r="26" spans="1:59">
      <c r="A26" s="63" t="s">
        <v>37</v>
      </c>
      <c r="B26" s="168"/>
      <c r="C26" s="252" t="s">
        <v>5</v>
      </c>
      <c r="D26" s="187" t="s">
        <v>67</v>
      </c>
      <c r="E26" s="256" t="s">
        <v>67</v>
      </c>
      <c r="F26" s="258" t="s">
        <v>6</v>
      </c>
      <c r="G26" s="187" t="s">
        <v>80</v>
      </c>
      <c r="H26" s="258" t="s">
        <v>93</v>
      </c>
      <c r="I26" s="308" t="s">
        <v>7</v>
      </c>
      <c r="J26" s="309" t="s">
        <v>67</v>
      </c>
      <c r="K26" s="258" t="s">
        <v>5</v>
      </c>
      <c r="L26" s="258" t="s">
        <v>12</v>
      </c>
      <c r="M26" s="256" t="s">
        <v>80</v>
      </c>
      <c r="N26" s="187" t="s">
        <v>80</v>
      </c>
      <c r="O26" s="187" t="s">
        <v>80</v>
      </c>
      <c r="P26" s="308" t="s">
        <v>7</v>
      </c>
      <c r="Q26" s="252" t="s">
        <v>5</v>
      </c>
      <c r="R26" s="187" t="s">
        <v>84</v>
      </c>
      <c r="S26" s="187" t="s">
        <v>66</v>
      </c>
      <c r="T26" s="256" t="s">
        <v>67</v>
      </c>
      <c r="U26" s="187" t="s">
        <v>67</v>
      </c>
      <c r="V26" s="187" t="s">
        <v>80</v>
      </c>
      <c r="W26" s="308" t="s">
        <v>7</v>
      </c>
      <c r="X26" s="325" t="s">
        <v>82</v>
      </c>
      <c r="Y26" s="187" t="s">
        <v>66</v>
      </c>
      <c r="Z26" s="187" t="s">
        <v>66</v>
      </c>
      <c r="AA26" s="256" t="s">
        <v>66</v>
      </c>
      <c r="AB26" s="187" t="s">
        <v>67</v>
      </c>
      <c r="AC26" s="187" t="s">
        <v>67</v>
      </c>
      <c r="AD26" s="339" t="s">
        <v>7</v>
      </c>
      <c r="AE26" s="118">
        <f t="shared" si="34"/>
        <v>11</v>
      </c>
      <c r="AF26" s="24">
        <f t="shared" si="19"/>
        <v>6</v>
      </c>
      <c r="AG26" s="104"/>
      <c r="AH26" s="105"/>
      <c r="AI26" s="106"/>
      <c r="AJ26" s="106"/>
      <c r="AK26" s="37">
        <f t="shared" si="1"/>
        <v>1</v>
      </c>
      <c r="AL26" s="38">
        <f t="shared" si="2"/>
        <v>1</v>
      </c>
      <c r="AM26" s="38">
        <f t="shared" si="35"/>
        <v>1</v>
      </c>
      <c r="AN26" s="38">
        <f t="shared" si="35"/>
        <v>1</v>
      </c>
      <c r="AO26" s="38">
        <f t="shared" si="36"/>
        <v>1</v>
      </c>
      <c r="AP26" s="38">
        <f t="shared" si="36"/>
        <v>1</v>
      </c>
      <c r="AQ26" s="38">
        <f t="shared" si="37"/>
        <v>1</v>
      </c>
      <c r="AR26" s="39">
        <f t="shared" si="37"/>
        <v>1</v>
      </c>
      <c r="AS26" s="63" t="s">
        <v>37</v>
      </c>
      <c r="AT26" s="17">
        <f t="shared" si="6"/>
        <v>1</v>
      </c>
      <c r="AU26" s="17">
        <f t="shared" si="7"/>
        <v>0</v>
      </c>
      <c r="AV26" s="17">
        <f t="shared" si="8"/>
        <v>0</v>
      </c>
      <c r="AW26" s="11">
        <f t="shared" si="9"/>
        <v>0</v>
      </c>
      <c r="AX26" s="11">
        <f t="shared" si="10"/>
        <v>1</v>
      </c>
      <c r="AY26" s="11">
        <f t="shared" si="11"/>
        <v>0</v>
      </c>
      <c r="AZ26" s="11">
        <f t="shared" si="12"/>
        <v>4</v>
      </c>
      <c r="BA26" s="11">
        <f t="shared" si="13"/>
        <v>0</v>
      </c>
      <c r="BB26" s="11">
        <f t="shared" si="20"/>
        <v>0</v>
      </c>
      <c r="BC26" s="11">
        <f t="shared" si="14"/>
        <v>1</v>
      </c>
      <c r="BD26" s="11">
        <f t="shared" si="15"/>
        <v>4</v>
      </c>
      <c r="BE26" s="28">
        <f t="shared" si="16"/>
        <v>10</v>
      </c>
      <c r="BF26" s="29">
        <f t="shared" si="17"/>
        <v>4</v>
      </c>
      <c r="BG26" s="11">
        <f t="shared" si="18"/>
        <v>10</v>
      </c>
    </row>
    <row r="27" spans="1:59" ht="17.25" thickBot="1">
      <c r="A27" s="63" t="s">
        <v>74</v>
      </c>
      <c r="B27" s="167"/>
      <c r="C27" s="309" t="s">
        <v>66</v>
      </c>
      <c r="D27" s="187" t="s">
        <v>66</v>
      </c>
      <c r="E27" s="187" t="s">
        <v>65</v>
      </c>
      <c r="F27" s="187" t="s">
        <v>82</v>
      </c>
      <c r="G27" s="187" t="s">
        <v>69</v>
      </c>
      <c r="H27" s="187" t="s">
        <v>67</v>
      </c>
      <c r="I27" s="308" t="s">
        <v>80</v>
      </c>
      <c r="J27" s="309" t="s">
        <v>80</v>
      </c>
      <c r="K27" s="187" t="s">
        <v>82</v>
      </c>
      <c r="L27" s="187" t="s">
        <v>65</v>
      </c>
      <c r="M27" s="256" t="s">
        <v>67</v>
      </c>
      <c r="N27" s="187" t="s">
        <v>67</v>
      </c>
      <c r="O27" s="256" t="s">
        <v>80</v>
      </c>
      <c r="P27" s="324" t="s">
        <v>80</v>
      </c>
      <c r="Q27" s="325" t="s">
        <v>80</v>
      </c>
      <c r="R27" s="256" t="s">
        <v>82</v>
      </c>
      <c r="S27" s="187" t="s">
        <v>65</v>
      </c>
      <c r="T27" s="187" t="s">
        <v>66</v>
      </c>
      <c r="U27" s="187" t="s">
        <v>66</v>
      </c>
      <c r="V27" s="256" t="s">
        <v>67</v>
      </c>
      <c r="W27" s="324" t="s">
        <v>81</v>
      </c>
      <c r="X27" s="252" t="s">
        <v>20</v>
      </c>
      <c r="Y27" s="258" t="s">
        <v>5</v>
      </c>
      <c r="Z27" s="187" t="s">
        <v>65</v>
      </c>
      <c r="AA27" s="258" t="s">
        <v>90</v>
      </c>
      <c r="AB27" s="187" t="s">
        <v>66</v>
      </c>
      <c r="AC27" s="187" t="s">
        <v>66</v>
      </c>
      <c r="AD27" s="339" t="s">
        <v>66</v>
      </c>
      <c r="AE27" s="118">
        <f t="shared" si="34"/>
        <v>11</v>
      </c>
      <c r="AF27" s="229">
        <f t="shared" si="19"/>
        <v>5</v>
      </c>
      <c r="AG27" s="104"/>
      <c r="AH27" s="105"/>
      <c r="AI27" s="106"/>
      <c r="AJ27" s="106"/>
      <c r="AK27" s="52">
        <f t="shared" si="1"/>
        <v>1</v>
      </c>
      <c r="AL27" s="53">
        <f t="shared" si="2"/>
        <v>1</v>
      </c>
      <c r="AM27" s="53">
        <f t="shared" si="35"/>
        <v>1</v>
      </c>
      <c r="AN27" s="53">
        <f t="shared" si="35"/>
        <v>1</v>
      </c>
      <c r="AO27" s="53">
        <f t="shared" si="36"/>
        <v>1</v>
      </c>
      <c r="AP27" s="53">
        <f t="shared" si="36"/>
        <v>1</v>
      </c>
      <c r="AQ27" s="53">
        <f t="shared" si="37"/>
        <v>1</v>
      </c>
      <c r="AR27" s="54">
        <f t="shared" si="37"/>
        <v>1</v>
      </c>
      <c r="AS27" s="63" t="s">
        <v>74</v>
      </c>
      <c r="AT27" s="17">
        <f t="shared" si="6"/>
        <v>0</v>
      </c>
      <c r="AU27" s="17">
        <f t="shared" si="7"/>
        <v>0</v>
      </c>
      <c r="AV27" s="17">
        <f t="shared" si="8"/>
        <v>0</v>
      </c>
      <c r="AW27" s="11">
        <f t="shared" si="9"/>
        <v>0</v>
      </c>
      <c r="AX27" s="11">
        <f t="shared" si="10"/>
        <v>1</v>
      </c>
      <c r="AY27" s="11">
        <f t="shared" si="11"/>
        <v>0</v>
      </c>
      <c r="AZ27" s="11">
        <f t="shared" si="12"/>
        <v>4</v>
      </c>
      <c r="BA27" s="11">
        <f t="shared" si="13"/>
        <v>1</v>
      </c>
      <c r="BB27" s="11">
        <f t="shared" si="20"/>
        <v>0</v>
      </c>
      <c r="BC27" s="11">
        <f t="shared" si="14"/>
        <v>1</v>
      </c>
      <c r="BD27" s="11">
        <f t="shared" si="15"/>
        <v>4</v>
      </c>
      <c r="BE27" s="28">
        <f t="shared" si="16"/>
        <v>11</v>
      </c>
      <c r="BF27" s="29">
        <f t="shared" si="17"/>
        <v>4</v>
      </c>
      <c r="BG27" s="11">
        <f t="shared" si="18"/>
        <v>11</v>
      </c>
    </row>
    <row r="28" spans="1:59" ht="17.25" thickBot="1">
      <c r="A28" s="63" t="s">
        <v>85</v>
      </c>
      <c r="B28" s="168"/>
      <c r="C28" s="309" t="s">
        <v>82</v>
      </c>
      <c r="D28" s="326" t="s">
        <v>91</v>
      </c>
      <c r="E28" s="326" t="s">
        <v>66</v>
      </c>
      <c r="F28" s="187" t="s">
        <v>65</v>
      </c>
      <c r="G28" s="326" t="s">
        <v>66</v>
      </c>
      <c r="H28" s="326" t="s">
        <v>66</v>
      </c>
      <c r="I28" s="308" t="s">
        <v>81</v>
      </c>
      <c r="J28" s="309" t="s">
        <v>82</v>
      </c>
      <c r="K28" s="326" t="s">
        <v>66</v>
      </c>
      <c r="L28" s="326" t="s">
        <v>66</v>
      </c>
      <c r="M28" s="187" t="s">
        <v>65</v>
      </c>
      <c r="N28" s="326" t="s">
        <v>66</v>
      </c>
      <c r="O28" s="326" t="s">
        <v>66</v>
      </c>
      <c r="P28" s="327" t="s">
        <v>66</v>
      </c>
      <c r="Q28" s="309" t="s">
        <v>82</v>
      </c>
      <c r="R28" s="256" t="s">
        <v>84</v>
      </c>
      <c r="S28" s="256" t="s">
        <v>84</v>
      </c>
      <c r="T28" s="187" t="s">
        <v>65</v>
      </c>
      <c r="U28" s="326" t="s">
        <v>66</v>
      </c>
      <c r="V28" s="328" t="s">
        <v>66</v>
      </c>
      <c r="W28" s="308" t="s">
        <v>66</v>
      </c>
      <c r="X28" s="309" t="s">
        <v>82</v>
      </c>
      <c r="Y28" s="187" t="s">
        <v>66</v>
      </c>
      <c r="Z28" s="187" t="s">
        <v>66</v>
      </c>
      <c r="AA28" s="187" t="s">
        <v>65</v>
      </c>
      <c r="AB28" s="187" t="s">
        <v>66</v>
      </c>
      <c r="AC28" s="326" t="s">
        <v>66</v>
      </c>
      <c r="AD28" s="339" t="s">
        <v>66</v>
      </c>
      <c r="AE28" s="118">
        <f t="shared" ref="AE28" si="38">SUM(AT28:BD28)</f>
        <v>11</v>
      </c>
      <c r="AF28" s="229">
        <f t="shared" ref="AF28" si="39">COUNTIF(C28:AD28,"N")</f>
        <v>0</v>
      </c>
      <c r="AG28" s="104"/>
      <c r="AH28" s="105"/>
      <c r="AI28" s="106"/>
      <c r="AJ28" s="106"/>
      <c r="AK28" s="52">
        <f t="shared" si="1"/>
        <v>1</v>
      </c>
      <c r="AL28" s="53">
        <f t="shared" si="2"/>
        <v>1</v>
      </c>
      <c r="AM28" s="53">
        <f t="shared" si="35"/>
        <v>1</v>
      </c>
      <c r="AN28" s="53">
        <f t="shared" si="35"/>
        <v>1</v>
      </c>
      <c r="AO28" s="53">
        <f t="shared" si="36"/>
        <v>1</v>
      </c>
      <c r="AP28" s="53">
        <f t="shared" si="36"/>
        <v>1</v>
      </c>
      <c r="AQ28" s="53">
        <f t="shared" si="37"/>
        <v>1</v>
      </c>
      <c r="AR28" s="54">
        <f t="shared" si="37"/>
        <v>1</v>
      </c>
      <c r="AS28" s="63" t="s">
        <v>85</v>
      </c>
      <c r="AT28" s="17">
        <f t="shared" ref="AT28" si="40">COUNTIF(C28:AD28,"특*")</f>
        <v>2</v>
      </c>
      <c r="AU28" s="17">
        <f t="shared" ref="AU28" si="41">COUNTIF(C28:AD28,"경가")</f>
        <v>0</v>
      </c>
      <c r="AV28" s="17">
        <f t="shared" ref="AV28" si="42">COUNTIF(C28:AD28,"병*")</f>
        <v>0</v>
      </c>
      <c r="AW28" s="11">
        <f t="shared" ref="AW28" si="43">COUNTIF(C28:AD28,"공*")</f>
        <v>0</v>
      </c>
      <c r="AX28" s="11">
        <f t="shared" ref="AX28" si="44">COUNTIF(C28:AD28,"생*")+COUNTIF(C28:AD28,"산전")+COUNTIF(C28:AD28,"검진")</f>
        <v>0</v>
      </c>
      <c r="AY28" s="11">
        <f t="shared" ref="AY28" si="45">COUNTIF(C28:AD28,"법*")</f>
        <v>0</v>
      </c>
      <c r="AZ28" s="11">
        <f t="shared" ref="AZ28" si="46">COUNTIF(C28:AD28,"*OFF*")</f>
        <v>4</v>
      </c>
      <c r="BA28" s="11">
        <f t="shared" ref="BA28" si="47">COUNTIF(C28:AD28,"VAC*")+COUNTIF(C28:AD28,"휴가")</f>
        <v>1</v>
      </c>
      <c r="BB28" s="11">
        <f t="shared" ref="BB28" si="48">COUNTIF(B28:AC28,"출산*")</f>
        <v>0</v>
      </c>
      <c r="BC28" s="11">
        <f t="shared" si="14"/>
        <v>0</v>
      </c>
      <c r="BD28" s="11">
        <f t="shared" ref="BD28" si="49">COUNTIF(C28:AD28,"주")</f>
        <v>4</v>
      </c>
      <c r="BE28" s="28">
        <f t="shared" ref="BE28" si="50">SUM(AX28:BD28)</f>
        <v>9</v>
      </c>
      <c r="BF28" s="29">
        <f t="shared" ref="BF28" si="51">COUNTIF(J28:AD28,"N")</f>
        <v>0</v>
      </c>
      <c r="BG28" s="11">
        <f t="shared" ref="BG28" si="52">SUM(AU28:BD28)</f>
        <v>9</v>
      </c>
    </row>
    <row r="29" spans="1:59">
      <c r="A29" s="63" t="s">
        <v>38</v>
      </c>
      <c r="B29" s="168"/>
      <c r="C29" s="309" t="s">
        <v>67</v>
      </c>
      <c r="D29" s="187" t="s">
        <v>80</v>
      </c>
      <c r="E29" s="187" t="s">
        <v>80</v>
      </c>
      <c r="F29" s="187" t="s">
        <v>84</v>
      </c>
      <c r="G29" s="187" t="s">
        <v>7</v>
      </c>
      <c r="H29" s="187" t="s">
        <v>82</v>
      </c>
      <c r="I29" s="308" t="s">
        <v>66</v>
      </c>
      <c r="J29" s="309" t="s">
        <v>67</v>
      </c>
      <c r="K29" s="187" t="s">
        <v>82</v>
      </c>
      <c r="L29" s="326" t="s">
        <v>66</v>
      </c>
      <c r="M29" s="258" t="s">
        <v>20</v>
      </c>
      <c r="N29" s="187" t="s">
        <v>7</v>
      </c>
      <c r="O29" s="258" t="s">
        <v>14</v>
      </c>
      <c r="P29" s="310" t="s">
        <v>94</v>
      </c>
      <c r="Q29" s="252" t="s">
        <v>5</v>
      </c>
      <c r="R29" s="326" t="s">
        <v>66</v>
      </c>
      <c r="S29" s="256" t="s">
        <v>66</v>
      </c>
      <c r="T29" s="256" t="s">
        <v>80</v>
      </c>
      <c r="U29" s="256" t="s">
        <v>65</v>
      </c>
      <c r="V29" s="256" t="s">
        <v>67</v>
      </c>
      <c r="W29" s="308" t="s">
        <v>67</v>
      </c>
      <c r="X29" s="252" t="s">
        <v>12</v>
      </c>
      <c r="Y29" s="187" t="s">
        <v>80</v>
      </c>
      <c r="Z29" s="187" t="s">
        <v>80</v>
      </c>
      <c r="AA29" s="187" t="s">
        <v>80</v>
      </c>
      <c r="AB29" s="187" t="s">
        <v>7</v>
      </c>
      <c r="AC29" s="187" t="s">
        <v>82</v>
      </c>
      <c r="AD29" s="339" t="s">
        <v>66</v>
      </c>
      <c r="AE29" s="118">
        <f t="shared" si="34"/>
        <v>12</v>
      </c>
      <c r="AF29" s="384">
        <f t="shared" si="19"/>
        <v>6</v>
      </c>
      <c r="AG29" s="106"/>
      <c r="AH29" s="110"/>
      <c r="AI29" s="106"/>
      <c r="AJ29" s="106"/>
      <c r="AK29" s="65">
        <f t="shared" si="1"/>
        <v>1</v>
      </c>
      <c r="AL29" s="67">
        <f t="shared" si="2"/>
        <v>1</v>
      </c>
      <c r="AM29" s="67">
        <f t="shared" si="35"/>
        <v>1</v>
      </c>
      <c r="AN29" s="67">
        <f t="shared" si="35"/>
        <v>1</v>
      </c>
      <c r="AO29" s="67">
        <f t="shared" si="36"/>
        <v>1</v>
      </c>
      <c r="AP29" s="67">
        <f t="shared" si="36"/>
        <v>1</v>
      </c>
      <c r="AQ29" s="67">
        <f t="shared" si="37"/>
        <v>1</v>
      </c>
      <c r="AR29" s="68">
        <f t="shared" si="37"/>
        <v>1</v>
      </c>
      <c r="AS29" s="63" t="s">
        <v>38</v>
      </c>
      <c r="AT29" s="17">
        <f t="shared" si="6"/>
        <v>1</v>
      </c>
      <c r="AU29" s="17">
        <f t="shared" si="7"/>
        <v>0</v>
      </c>
      <c r="AV29" s="17">
        <f t="shared" si="8"/>
        <v>0</v>
      </c>
      <c r="AW29" s="11">
        <f t="shared" si="9"/>
        <v>0</v>
      </c>
      <c r="AX29" s="11">
        <f t="shared" si="10"/>
        <v>1</v>
      </c>
      <c r="AY29" s="11">
        <f t="shared" si="11"/>
        <v>0</v>
      </c>
      <c r="AZ29" s="11">
        <f t="shared" si="12"/>
        <v>4</v>
      </c>
      <c r="BA29" s="11">
        <f t="shared" si="13"/>
        <v>1</v>
      </c>
      <c r="BB29" s="11">
        <f t="shared" si="20"/>
        <v>0</v>
      </c>
      <c r="BC29" s="11">
        <f>COUNTIF(C29:AD29,"*수면*")</f>
        <v>1</v>
      </c>
      <c r="BD29" s="11">
        <f t="shared" si="15"/>
        <v>4</v>
      </c>
      <c r="BE29" s="28">
        <f t="shared" si="16"/>
        <v>11</v>
      </c>
      <c r="BF29" s="29">
        <f t="shared" si="17"/>
        <v>4</v>
      </c>
      <c r="BG29" s="11">
        <f t="shared" si="18"/>
        <v>11</v>
      </c>
    </row>
    <row r="30" spans="1:59" ht="17.25" thickBot="1">
      <c r="A30" s="169" t="s">
        <v>39</v>
      </c>
      <c r="B30" s="228"/>
      <c r="C30" s="329" t="s">
        <v>6</v>
      </c>
      <c r="D30" s="330" t="s">
        <v>80</v>
      </c>
      <c r="E30" s="330" t="s">
        <v>80</v>
      </c>
      <c r="F30" s="330" t="s">
        <v>65</v>
      </c>
      <c r="G30" s="330" t="s">
        <v>82</v>
      </c>
      <c r="H30" s="330" t="s">
        <v>66</v>
      </c>
      <c r="I30" s="331" t="s">
        <v>67</v>
      </c>
      <c r="J30" s="329" t="s">
        <v>14</v>
      </c>
      <c r="K30" s="330" t="s">
        <v>81</v>
      </c>
      <c r="L30" s="332" t="s">
        <v>5</v>
      </c>
      <c r="M30" s="330" t="s">
        <v>65</v>
      </c>
      <c r="N30" s="333" t="s">
        <v>66</v>
      </c>
      <c r="O30" s="330" t="s">
        <v>67</v>
      </c>
      <c r="P30" s="331" t="s">
        <v>67</v>
      </c>
      <c r="Q30" s="311" t="s">
        <v>67</v>
      </c>
      <c r="R30" s="313" t="s">
        <v>67</v>
      </c>
      <c r="S30" s="313" t="s">
        <v>82</v>
      </c>
      <c r="T30" s="313" t="s">
        <v>65</v>
      </c>
      <c r="U30" s="313" t="s">
        <v>66</v>
      </c>
      <c r="V30" s="312" t="s">
        <v>66</v>
      </c>
      <c r="W30" s="315" t="s">
        <v>67</v>
      </c>
      <c r="X30" s="316" t="s">
        <v>25</v>
      </c>
      <c r="Y30" s="314" t="s">
        <v>5</v>
      </c>
      <c r="Z30" s="314" t="s">
        <v>12</v>
      </c>
      <c r="AA30" s="312" t="s">
        <v>65</v>
      </c>
      <c r="AB30" s="313" t="s">
        <v>80</v>
      </c>
      <c r="AC30" s="312" t="s">
        <v>80</v>
      </c>
      <c r="AD30" s="376" t="s">
        <v>80</v>
      </c>
      <c r="AE30" s="71">
        <f t="shared" ref="AE30" si="53">SUM(AT30:BD30)</f>
        <v>11</v>
      </c>
      <c r="AF30" s="384">
        <f t="shared" ref="AF30" si="54">COUNTIF(C30:AD30,"N")</f>
        <v>6</v>
      </c>
      <c r="AG30" s="106"/>
      <c r="AH30" s="110"/>
      <c r="AI30" s="106"/>
      <c r="AJ30" s="106"/>
      <c r="AK30" s="65">
        <f t="shared" si="1"/>
        <v>1</v>
      </c>
      <c r="AL30" s="67">
        <f t="shared" si="2"/>
        <v>1</v>
      </c>
      <c r="AM30" s="67">
        <f t="shared" si="35"/>
        <v>1</v>
      </c>
      <c r="AN30" s="67">
        <f t="shared" si="35"/>
        <v>1</v>
      </c>
      <c r="AO30" s="67">
        <f t="shared" si="36"/>
        <v>1</v>
      </c>
      <c r="AP30" s="67">
        <f t="shared" si="36"/>
        <v>1</v>
      </c>
      <c r="AQ30" s="67">
        <f t="shared" si="37"/>
        <v>1</v>
      </c>
      <c r="AR30" s="68">
        <f t="shared" si="37"/>
        <v>1</v>
      </c>
      <c r="AS30" s="72" t="s">
        <v>39</v>
      </c>
      <c r="AT30" s="17">
        <f t="shared" ref="AT30" si="55">COUNTIF(C30:AD30,"특*")</f>
        <v>0</v>
      </c>
      <c r="AU30" s="17">
        <f t="shared" ref="AU30" si="56">COUNTIF(C30:AD30,"경가")</f>
        <v>0</v>
      </c>
      <c r="AV30" s="17">
        <f t="shared" ref="AV30" si="57">COUNTIF(C30:AD30,"병*")</f>
        <v>0</v>
      </c>
      <c r="AW30" s="11">
        <f t="shared" ref="AW30" si="58">COUNTIF(C30:AD30,"공*")</f>
        <v>0</v>
      </c>
      <c r="AX30" s="11">
        <f t="shared" ref="AX30" si="59">COUNTIF(C30:AD30,"생*")+COUNTIF(C30:AD30,"산전")+COUNTIF(C30:AD30,"검진")</f>
        <v>1</v>
      </c>
      <c r="AY30" s="11">
        <f t="shared" ref="AY30" si="60">COUNTIF(C30:AD30,"법*")</f>
        <v>0</v>
      </c>
      <c r="AZ30" s="11">
        <f t="shared" ref="AZ30" si="61">COUNTIF(C30:AD30,"*OFF*")</f>
        <v>4</v>
      </c>
      <c r="BA30" s="11">
        <f t="shared" ref="BA30" si="62">COUNTIF(C30:AD30,"VAC*")+COUNTIF(C30:AD30,"휴가")</f>
        <v>2</v>
      </c>
      <c r="BB30" s="11">
        <f t="shared" si="20"/>
        <v>0</v>
      </c>
      <c r="BC30" s="11">
        <f t="shared" ref="BC30:BC48" si="63">COUNTIF(C30:AD30,"*수면*")</f>
        <v>0</v>
      </c>
      <c r="BD30" s="11">
        <f t="shared" ref="BD30" si="64">COUNTIF(C30:AD30,"주")</f>
        <v>4</v>
      </c>
      <c r="BE30" s="28">
        <f t="shared" ref="BE30" si="65">SUM(AX30:BD30)</f>
        <v>11</v>
      </c>
      <c r="BF30" s="29">
        <f t="shared" ref="BF30" si="66">COUNTIF(J30:AD30,"N")</f>
        <v>3</v>
      </c>
      <c r="BG30" s="11">
        <f t="shared" ref="BG30" si="67">SUM(AU30:BD30)</f>
        <v>11</v>
      </c>
    </row>
    <row r="31" spans="1:59">
      <c r="A31" s="192" t="s">
        <v>52</v>
      </c>
      <c r="B31" s="145"/>
      <c r="C31" s="334" t="s">
        <v>5</v>
      </c>
      <c r="D31" s="304" t="s">
        <v>12</v>
      </c>
      <c r="E31" s="254" t="s">
        <v>67</v>
      </c>
      <c r="F31" s="233" t="s">
        <v>80</v>
      </c>
      <c r="G31" s="233" t="s">
        <v>80</v>
      </c>
      <c r="H31" s="233" t="s">
        <v>80</v>
      </c>
      <c r="I31" s="306" t="s">
        <v>65</v>
      </c>
      <c r="J31" s="289" t="s">
        <v>82</v>
      </c>
      <c r="K31" s="233" t="s">
        <v>66</v>
      </c>
      <c r="L31" s="233" t="s">
        <v>66</v>
      </c>
      <c r="M31" s="254" t="s">
        <v>66</v>
      </c>
      <c r="N31" s="254" t="s">
        <v>80</v>
      </c>
      <c r="O31" s="254" t="s">
        <v>80</v>
      </c>
      <c r="P31" s="335" t="s">
        <v>65</v>
      </c>
      <c r="Q31" s="253" t="s">
        <v>82</v>
      </c>
      <c r="R31" s="255" t="s">
        <v>66</v>
      </c>
      <c r="S31" s="255" t="s">
        <v>66</v>
      </c>
      <c r="T31" s="255" t="s">
        <v>66</v>
      </c>
      <c r="U31" s="255" t="s">
        <v>67</v>
      </c>
      <c r="V31" s="255" t="s">
        <v>67</v>
      </c>
      <c r="W31" s="336" t="s">
        <v>65</v>
      </c>
      <c r="X31" s="253" t="s">
        <v>81</v>
      </c>
      <c r="Y31" s="255" t="s">
        <v>66</v>
      </c>
      <c r="Z31" s="255" t="s">
        <v>66</v>
      </c>
      <c r="AA31" s="255" t="s">
        <v>67</v>
      </c>
      <c r="AB31" s="255" t="s">
        <v>81</v>
      </c>
      <c r="AC31" s="255" t="s">
        <v>82</v>
      </c>
      <c r="AD31" s="336" t="s">
        <v>65</v>
      </c>
      <c r="AE31" s="64">
        <f t="shared" ref="AE31:AE48" si="68">SUM(AT31:BD31)</f>
        <v>11</v>
      </c>
      <c r="AF31" s="36">
        <f t="shared" si="19"/>
        <v>5</v>
      </c>
      <c r="AG31" s="106"/>
      <c r="AH31" s="110"/>
      <c r="AI31" s="106"/>
      <c r="AJ31" s="106"/>
      <c r="AK31" s="37">
        <f t="shared" si="1"/>
        <v>1</v>
      </c>
      <c r="AL31" s="38">
        <f t="shared" si="2"/>
        <v>1</v>
      </c>
      <c r="AM31" s="38">
        <f t="shared" si="35"/>
        <v>1</v>
      </c>
      <c r="AN31" s="38">
        <f t="shared" si="35"/>
        <v>1</v>
      </c>
      <c r="AO31" s="38">
        <f t="shared" si="36"/>
        <v>1</v>
      </c>
      <c r="AP31" s="38">
        <f t="shared" si="36"/>
        <v>1</v>
      </c>
      <c r="AQ31" s="38">
        <f t="shared" si="37"/>
        <v>1</v>
      </c>
      <c r="AR31" s="39">
        <f t="shared" si="37"/>
        <v>1</v>
      </c>
      <c r="AS31" s="127" t="s">
        <v>52</v>
      </c>
      <c r="AT31" s="17">
        <f t="shared" si="6"/>
        <v>0</v>
      </c>
      <c r="AU31" s="17">
        <f t="shared" si="7"/>
        <v>0</v>
      </c>
      <c r="AV31" s="17">
        <f t="shared" si="8"/>
        <v>0</v>
      </c>
      <c r="AW31" s="11">
        <f t="shared" si="9"/>
        <v>0</v>
      </c>
      <c r="AX31" s="11">
        <f t="shared" si="10"/>
        <v>1</v>
      </c>
      <c r="AY31" s="11">
        <f t="shared" si="11"/>
        <v>0</v>
      </c>
      <c r="AZ31" s="11">
        <f t="shared" si="12"/>
        <v>4</v>
      </c>
      <c r="BA31" s="11">
        <f t="shared" si="13"/>
        <v>2</v>
      </c>
      <c r="BB31" s="11">
        <f t="shared" si="20"/>
        <v>0</v>
      </c>
      <c r="BC31" s="11">
        <f t="shared" si="63"/>
        <v>0</v>
      </c>
      <c r="BD31" s="11">
        <f t="shared" si="15"/>
        <v>4</v>
      </c>
      <c r="BE31" s="28">
        <f t="shared" si="16"/>
        <v>11</v>
      </c>
      <c r="BF31" s="29">
        <f t="shared" si="17"/>
        <v>2</v>
      </c>
      <c r="BG31" s="11">
        <f t="shared" si="18"/>
        <v>11</v>
      </c>
    </row>
    <row r="32" spans="1:59">
      <c r="A32" s="126" t="s">
        <v>75</v>
      </c>
      <c r="B32" s="63"/>
      <c r="C32" s="337" t="s">
        <v>66</v>
      </c>
      <c r="D32" s="187" t="s">
        <v>20</v>
      </c>
      <c r="E32" s="256" t="s">
        <v>66</v>
      </c>
      <c r="F32" s="187" t="s">
        <v>7</v>
      </c>
      <c r="G32" s="187" t="s">
        <v>67</v>
      </c>
      <c r="H32" s="187" t="s">
        <v>82</v>
      </c>
      <c r="I32" s="308" t="s">
        <v>80</v>
      </c>
      <c r="J32" s="309" t="s">
        <v>80</v>
      </c>
      <c r="K32" s="187" t="s">
        <v>80</v>
      </c>
      <c r="L32" s="187" t="s">
        <v>82</v>
      </c>
      <c r="M32" s="256" t="s">
        <v>7</v>
      </c>
      <c r="N32" s="256" t="s">
        <v>95</v>
      </c>
      <c r="O32" s="256" t="s">
        <v>66</v>
      </c>
      <c r="P32" s="338" t="s">
        <v>66</v>
      </c>
      <c r="Q32" s="309" t="s">
        <v>66</v>
      </c>
      <c r="R32" s="187" t="s">
        <v>66</v>
      </c>
      <c r="S32" s="187" t="s">
        <v>67</v>
      </c>
      <c r="T32" s="187" t="s">
        <v>7</v>
      </c>
      <c r="U32" s="187" t="s">
        <v>66</v>
      </c>
      <c r="V32" s="187" t="s">
        <v>84</v>
      </c>
      <c r="W32" s="339" t="s">
        <v>82</v>
      </c>
      <c r="X32" s="309" t="s">
        <v>80</v>
      </c>
      <c r="Y32" s="187" t="s">
        <v>80</v>
      </c>
      <c r="Z32" s="187" t="s">
        <v>80</v>
      </c>
      <c r="AA32" s="187" t="s">
        <v>7</v>
      </c>
      <c r="AB32" s="256" t="s">
        <v>82</v>
      </c>
      <c r="AC32" s="187" t="s">
        <v>67</v>
      </c>
      <c r="AD32" s="339" t="s">
        <v>67</v>
      </c>
      <c r="AE32" s="34">
        <f t="shared" si="68"/>
        <v>10</v>
      </c>
      <c r="AF32" s="383">
        <f t="shared" si="19"/>
        <v>6</v>
      </c>
      <c r="AG32" s="106"/>
      <c r="AH32" s="110"/>
      <c r="AI32" s="106"/>
      <c r="AJ32" s="106"/>
      <c r="AK32" s="37">
        <f t="shared" si="1"/>
        <v>1</v>
      </c>
      <c r="AL32" s="38">
        <f t="shared" si="2"/>
        <v>1</v>
      </c>
      <c r="AM32" s="38">
        <f t="shared" si="35"/>
        <v>1</v>
      </c>
      <c r="AN32" s="38">
        <f t="shared" si="35"/>
        <v>1</v>
      </c>
      <c r="AO32" s="38">
        <f t="shared" si="36"/>
        <v>1</v>
      </c>
      <c r="AP32" s="38">
        <f t="shared" si="36"/>
        <v>1</v>
      </c>
      <c r="AQ32" s="38">
        <f t="shared" si="37"/>
        <v>1</v>
      </c>
      <c r="AR32" s="39">
        <f t="shared" si="37"/>
        <v>1</v>
      </c>
      <c r="AS32" s="127" t="s">
        <v>75</v>
      </c>
      <c r="AT32" s="17">
        <f t="shared" si="6"/>
        <v>1</v>
      </c>
      <c r="AU32" s="17">
        <f t="shared" si="7"/>
        <v>0</v>
      </c>
      <c r="AV32" s="17">
        <f t="shared" si="8"/>
        <v>0</v>
      </c>
      <c r="AW32" s="11">
        <f t="shared" si="9"/>
        <v>0</v>
      </c>
      <c r="AX32" s="11">
        <f t="shared" si="10"/>
        <v>0</v>
      </c>
      <c r="AY32" s="11">
        <f t="shared" si="11"/>
        <v>0</v>
      </c>
      <c r="AZ32" s="11">
        <f t="shared" si="12"/>
        <v>4</v>
      </c>
      <c r="BA32" s="11">
        <f t="shared" si="13"/>
        <v>0</v>
      </c>
      <c r="BB32" s="11">
        <f t="shared" si="20"/>
        <v>0</v>
      </c>
      <c r="BC32" s="11">
        <f t="shared" si="63"/>
        <v>1</v>
      </c>
      <c r="BD32" s="11">
        <f t="shared" si="15"/>
        <v>4</v>
      </c>
      <c r="BE32" s="28">
        <f t="shared" si="16"/>
        <v>9</v>
      </c>
      <c r="BF32" s="29">
        <f t="shared" si="17"/>
        <v>5</v>
      </c>
      <c r="BG32" s="11">
        <f t="shared" si="18"/>
        <v>9</v>
      </c>
    </row>
    <row r="33" spans="1:59">
      <c r="A33" s="126" t="s">
        <v>70</v>
      </c>
      <c r="B33" s="63"/>
      <c r="C33" s="337" t="s">
        <v>66</v>
      </c>
      <c r="D33" s="187" t="s">
        <v>20</v>
      </c>
      <c r="E33" s="187" t="s">
        <v>65</v>
      </c>
      <c r="F33" s="187" t="s">
        <v>82</v>
      </c>
      <c r="G33" s="187" t="s">
        <v>81</v>
      </c>
      <c r="H33" s="187" t="s">
        <v>80</v>
      </c>
      <c r="I33" s="308" t="s">
        <v>80</v>
      </c>
      <c r="J33" s="309" t="s">
        <v>80</v>
      </c>
      <c r="K33" s="187" t="s">
        <v>82</v>
      </c>
      <c r="L33" s="187" t="s">
        <v>65</v>
      </c>
      <c r="M33" s="256" t="s">
        <v>66</v>
      </c>
      <c r="N33" s="256" t="s">
        <v>67</v>
      </c>
      <c r="O33" s="256" t="s">
        <v>67</v>
      </c>
      <c r="P33" s="339" t="s">
        <v>80</v>
      </c>
      <c r="Q33" s="309" t="s">
        <v>80</v>
      </c>
      <c r="R33" s="187" t="s">
        <v>80</v>
      </c>
      <c r="S33" s="187" t="s">
        <v>65</v>
      </c>
      <c r="T33" s="187" t="s">
        <v>82</v>
      </c>
      <c r="U33" s="187" t="s">
        <v>66</v>
      </c>
      <c r="V33" s="258" t="s">
        <v>20</v>
      </c>
      <c r="W33" s="340" t="s">
        <v>69</v>
      </c>
      <c r="X33" s="252" t="s">
        <v>88</v>
      </c>
      <c r="Y33" s="258" t="s">
        <v>89</v>
      </c>
      <c r="Z33" s="187" t="s">
        <v>65</v>
      </c>
      <c r="AA33" s="257" t="s">
        <v>66</v>
      </c>
      <c r="AB33" s="256" t="s">
        <v>67</v>
      </c>
      <c r="AC33" s="256" t="s">
        <v>67</v>
      </c>
      <c r="AD33" s="338" t="s">
        <v>67</v>
      </c>
      <c r="AE33" s="34">
        <f t="shared" si="68"/>
        <v>11</v>
      </c>
      <c r="AF33" s="384">
        <f t="shared" si="19"/>
        <v>6</v>
      </c>
      <c r="AG33" s="106"/>
      <c r="AH33" s="110"/>
      <c r="AI33" s="106"/>
      <c r="AJ33" s="106"/>
      <c r="AK33" s="37">
        <f t="shared" si="1"/>
        <v>1</v>
      </c>
      <c r="AL33" s="38">
        <f t="shared" si="2"/>
        <v>1</v>
      </c>
      <c r="AM33" s="38">
        <f t="shared" si="35"/>
        <v>1</v>
      </c>
      <c r="AN33" s="38">
        <f t="shared" si="35"/>
        <v>1</v>
      </c>
      <c r="AO33" s="38">
        <f t="shared" si="36"/>
        <v>1</v>
      </c>
      <c r="AP33" s="38">
        <f t="shared" si="36"/>
        <v>1</v>
      </c>
      <c r="AQ33" s="38">
        <f t="shared" si="37"/>
        <v>1</v>
      </c>
      <c r="AR33" s="39">
        <f t="shared" si="37"/>
        <v>1</v>
      </c>
      <c r="AS33" s="127" t="s">
        <v>70</v>
      </c>
      <c r="AT33" s="17">
        <f t="shared" si="6"/>
        <v>0</v>
      </c>
      <c r="AU33" s="17">
        <f t="shared" si="7"/>
        <v>0</v>
      </c>
      <c r="AV33" s="17">
        <f t="shared" si="8"/>
        <v>0</v>
      </c>
      <c r="AW33" s="11">
        <f t="shared" si="9"/>
        <v>0</v>
      </c>
      <c r="AX33" s="11">
        <f t="shared" si="10"/>
        <v>1</v>
      </c>
      <c r="AY33" s="11">
        <f t="shared" si="11"/>
        <v>0</v>
      </c>
      <c r="AZ33" s="11">
        <f t="shared" si="12"/>
        <v>4</v>
      </c>
      <c r="BA33" s="11">
        <f t="shared" si="13"/>
        <v>2</v>
      </c>
      <c r="BB33" s="11">
        <f t="shared" si="20"/>
        <v>0</v>
      </c>
      <c r="BC33" s="11">
        <f t="shared" si="63"/>
        <v>0</v>
      </c>
      <c r="BD33" s="11">
        <f t="shared" si="15"/>
        <v>4</v>
      </c>
      <c r="BE33" s="28">
        <f t="shared" si="16"/>
        <v>11</v>
      </c>
      <c r="BF33" s="29">
        <f t="shared" si="17"/>
        <v>4</v>
      </c>
      <c r="BG33" s="11">
        <f t="shared" si="18"/>
        <v>11</v>
      </c>
    </row>
    <row r="34" spans="1:59">
      <c r="A34" s="126" t="s">
        <v>40</v>
      </c>
      <c r="B34" s="63"/>
      <c r="C34" s="337" t="s">
        <v>67</v>
      </c>
      <c r="D34" s="187" t="s">
        <v>80</v>
      </c>
      <c r="E34" s="187" t="s">
        <v>80</v>
      </c>
      <c r="F34" s="187" t="s">
        <v>80</v>
      </c>
      <c r="G34" s="187" t="s">
        <v>7</v>
      </c>
      <c r="H34" s="187" t="s">
        <v>82</v>
      </c>
      <c r="I34" s="252" t="s">
        <v>95</v>
      </c>
      <c r="J34" s="309" t="s">
        <v>66</v>
      </c>
      <c r="K34" s="187" t="s">
        <v>66</v>
      </c>
      <c r="L34" s="187" t="s">
        <v>80</v>
      </c>
      <c r="M34" s="187" t="s">
        <v>80</v>
      </c>
      <c r="N34" s="187" t="s">
        <v>7</v>
      </c>
      <c r="O34" s="187" t="s">
        <v>82</v>
      </c>
      <c r="P34" s="339" t="s">
        <v>69</v>
      </c>
      <c r="Q34" s="309" t="s">
        <v>66</v>
      </c>
      <c r="R34" s="187" t="s">
        <v>66</v>
      </c>
      <c r="S34" s="187" t="s">
        <v>67</v>
      </c>
      <c r="T34" s="187" t="s">
        <v>67</v>
      </c>
      <c r="U34" s="187" t="s">
        <v>7</v>
      </c>
      <c r="V34" s="187" t="s">
        <v>82</v>
      </c>
      <c r="W34" s="339" t="s">
        <v>67</v>
      </c>
      <c r="X34" s="309" t="s">
        <v>67</v>
      </c>
      <c r="Y34" s="187" t="s">
        <v>67</v>
      </c>
      <c r="Z34" s="187" t="s">
        <v>67</v>
      </c>
      <c r="AA34" s="187" t="s">
        <v>82</v>
      </c>
      <c r="AB34" s="187" t="s">
        <v>7</v>
      </c>
      <c r="AC34" s="187" t="s">
        <v>67</v>
      </c>
      <c r="AD34" s="340" t="s">
        <v>96</v>
      </c>
      <c r="AE34" s="34">
        <f t="shared" si="68"/>
        <v>11</v>
      </c>
      <c r="AF34" s="385">
        <f t="shared" si="19"/>
        <v>5</v>
      </c>
      <c r="AG34" s="106"/>
      <c r="AH34" s="110"/>
      <c r="AI34" s="106"/>
      <c r="AJ34" s="106"/>
      <c r="AK34" s="37">
        <f t="shared" si="1"/>
        <v>1</v>
      </c>
      <c r="AL34" s="38">
        <f t="shared" si="2"/>
        <v>1</v>
      </c>
      <c r="AM34" s="38">
        <f t="shared" si="35"/>
        <v>1</v>
      </c>
      <c r="AN34" s="38">
        <f t="shared" si="35"/>
        <v>1</v>
      </c>
      <c r="AO34" s="38">
        <f t="shared" si="36"/>
        <v>1</v>
      </c>
      <c r="AP34" s="38">
        <f t="shared" si="36"/>
        <v>1</v>
      </c>
      <c r="AQ34" s="38">
        <f t="shared" si="37"/>
        <v>1</v>
      </c>
      <c r="AR34" s="39">
        <f t="shared" si="37"/>
        <v>1</v>
      </c>
      <c r="AS34" s="126" t="s">
        <v>40</v>
      </c>
      <c r="AT34" s="17">
        <f t="shared" si="6"/>
        <v>0</v>
      </c>
      <c r="AU34" s="17">
        <f t="shared" si="7"/>
        <v>1</v>
      </c>
      <c r="AV34" s="17">
        <f t="shared" si="8"/>
        <v>0</v>
      </c>
      <c r="AW34" s="11">
        <f t="shared" si="9"/>
        <v>0</v>
      </c>
      <c r="AX34" s="11">
        <f t="shared" si="10"/>
        <v>1</v>
      </c>
      <c r="AY34" s="11">
        <f t="shared" si="11"/>
        <v>0</v>
      </c>
      <c r="AZ34" s="11">
        <f t="shared" si="12"/>
        <v>4</v>
      </c>
      <c r="BA34" s="11">
        <f t="shared" si="13"/>
        <v>0</v>
      </c>
      <c r="BB34" s="11">
        <f t="shared" si="20"/>
        <v>0</v>
      </c>
      <c r="BC34" s="11">
        <f t="shared" si="63"/>
        <v>1</v>
      </c>
      <c r="BD34" s="11">
        <f t="shared" si="15"/>
        <v>4</v>
      </c>
      <c r="BE34" s="28">
        <f t="shared" si="16"/>
        <v>10</v>
      </c>
      <c r="BF34" s="29">
        <f t="shared" si="17"/>
        <v>2</v>
      </c>
      <c r="BG34" s="11">
        <f t="shared" si="18"/>
        <v>11</v>
      </c>
    </row>
    <row r="35" spans="1:59">
      <c r="A35" s="247" t="s">
        <v>41</v>
      </c>
      <c r="B35" s="63"/>
      <c r="C35" s="337" t="s">
        <v>80</v>
      </c>
      <c r="D35" s="187" t="s">
        <v>7</v>
      </c>
      <c r="E35" s="187" t="s">
        <v>82</v>
      </c>
      <c r="F35" s="256" t="s">
        <v>66</v>
      </c>
      <c r="G35" s="187" t="s">
        <v>66</v>
      </c>
      <c r="H35" s="256" t="s">
        <v>82</v>
      </c>
      <c r="I35" s="308" t="s">
        <v>66</v>
      </c>
      <c r="J35" s="309" t="s">
        <v>66</v>
      </c>
      <c r="K35" s="187" t="s">
        <v>7</v>
      </c>
      <c r="L35" s="258" t="s">
        <v>66</v>
      </c>
      <c r="M35" s="256" t="s">
        <v>80</v>
      </c>
      <c r="N35" s="256" t="s">
        <v>82</v>
      </c>
      <c r="O35" s="256" t="s">
        <v>89</v>
      </c>
      <c r="P35" s="338" t="s">
        <v>81</v>
      </c>
      <c r="Q35" s="325" t="s">
        <v>80</v>
      </c>
      <c r="R35" s="187" t="s">
        <v>7</v>
      </c>
      <c r="S35" s="187" t="s">
        <v>82</v>
      </c>
      <c r="T35" s="187" t="s">
        <v>82</v>
      </c>
      <c r="U35" s="258" t="s">
        <v>95</v>
      </c>
      <c r="V35" s="187" t="s">
        <v>67</v>
      </c>
      <c r="W35" s="339" t="s">
        <v>67</v>
      </c>
      <c r="X35" s="325" t="s">
        <v>67</v>
      </c>
      <c r="Y35" s="256" t="s">
        <v>7</v>
      </c>
      <c r="Z35" s="256" t="s">
        <v>82</v>
      </c>
      <c r="AA35" s="257" t="s">
        <v>82</v>
      </c>
      <c r="AB35" s="187" t="s">
        <v>66</v>
      </c>
      <c r="AC35" s="187" t="s">
        <v>66</v>
      </c>
      <c r="AD35" s="339" t="s">
        <v>66</v>
      </c>
      <c r="AE35" s="34">
        <f t="shared" si="68"/>
        <v>14</v>
      </c>
      <c r="AF35" s="36">
        <f t="shared" si="19"/>
        <v>3</v>
      </c>
      <c r="AG35" s="106"/>
      <c r="AH35" s="110"/>
      <c r="AI35" s="106"/>
      <c r="AJ35" s="106"/>
      <c r="AK35" s="74">
        <f t="shared" si="1"/>
        <v>1</v>
      </c>
      <c r="AL35" s="38">
        <f t="shared" si="2"/>
        <v>2</v>
      </c>
      <c r="AM35" s="75">
        <f t="shared" si="35"/>
        <v>1</v>
      </c>
      <c r="AN35" s="75">
        <f t="shared" si="35"/>
        <v>2</v>
      </c>
      <c r="AO35" s="75">
        <f t="shared" si="36"/>
        <v>1</v>
      </c>
      <c r="AP35" s="75">
        <f t="shared" si="36"/>
        <v>2</v>
      </c>
      <c r="AQ35" s="75">
        <f t="shared" si="37"/>
        <v>1</v>
      </c>
      <c r="AR35" s="76">
        <f t="shared" si="37"/>
        <v>2</v>
      </c>
      <c r="AS35" s="247" t="s">
        <v>41</v>
      </c>
      <c r="AT35" s="17">
        <f t="shared" si="6"/>
        <v>0</v>
      </c>
      <c r="AU35" s="17">
        <f t="shared" si="7"/>
        <v>0</v>
      </c>
      <c r="AV35" s="17">
        <f t="shared" si="8"/>
        <v>0</v>
      </c>
      <c r="AW35" s="11">
        <f t="shared" si="9"/>
        <v>0</v>
      </c>
      <c r="AX35" s="11">
        <f t="shared" si="10"/>
        <v>0</v>
      </c>
      <c r="AY35" s="11">
        <f t="shared" si="11"/>
        <v>0</v>
      </c>
      <c r="AZ35" s="11">
        <f t="shared" si="12"/>
        <v>8</v>
      </c>
      <c r="BA35" s="11">
        <f t="shared" si="13"/>
        <v>1</v>
      </c>
      <c r="BB35" s="11">
        <f t="shared" si="20"/>
        <v>0</v>
      </c>
      <c r="BC35" s="11">
        <f t="shared" si="63"/>
        <v>1</v>
      </c>
      <c r="BD35" s="11">
        <f t="shared" si="15"/>
        <v>4</v>
      </c>
      <c r="BE35" s="28">
        <f t="shared" si="16"/>
        <v>14</v>
      </c>
      <c r="BF35" s="29">
        <f t="shared" si="17"/>
        <v>2</v>
      </c>
      <c r="BG35" s="11">
        <f t="shared" si="18"/>
        <v>14</v>
      </c>
    </row>
    <row r="36" spans="1:59">
      <c r="A36" s="126" t="s">
        <v>42</v>
      </c>
      <c r="B36" s="63"/>
      <c r="C36" s="337" t="s">
        <v>80</v>
      </c>
      <c r="D36" s="187" t="s">
        <v>80</v>
      </c>
      <c r="E36" s="187" t="s">
        <v>7</v>
      </c>
      <c r="F36" s="187" t="s">
        <v>89</v>
      </c>
      <c r="G36" s="187" t="s">
        <v>84</v>
      </c>
      <c r="H36" s="187" t="s">
        <v>66</v>
      </c>
      <c r="I36" s="308" t="s">
        <v>66</v>
      </c>
      <c r="J36" s="309" t="s">
        <v>66</v>
      </c>
      <c r="K36" s="187" t="s">
        <v>66</v>
      </c>
      <c r="L36" s="187" t="s">
        <v>7</v>
      </c>
      <c r="M36" s="187" t="s">
        <v>82</v>
      </c>
      <c r="N36" s="258" t="s">
        <v>20</v>
      </c>
      <c r="O36" s="187" t="s">
        <v>66</v>
      </c>
      <c r="P36" s="338" t="s">
        <v>66</v>
      </c>
      <c r="Q36" s="309" t="s">
        <v>80</v>
      </c>
      <c r="R36" s="187" t="s">
        <v>80</v>
      </c>
      <c r="S36" s="187" t="s">
        <v>7</v>
      </c>
      <c r="T36" s="258" t="s">
        <v>12</v>
      </c>
      <c r="U36" s="187" t="s">
        <v>82</v>
      </c>
      <c r="V36" s="187" t="s">
        <v>67</v>
      </c>
      <c r="W36" s="338" t="s">
        <v>80</v>
      </c>
      <c r="X36" s="309" t="s">
        <v>80</v>
      </c>
      <c r="Y36" s="187" t="s">
        <v>82</v>
      </c>
      <c r="Z36" s="187" t="s">
        <v>7</v>
      </c>
      <c r="AA36" s="187" t="s">
        <v>66</v>
      </c>
      <c r="AB36" s="256" t="s">
        <v>66</v>
      </c>
      <c r="AC36" s="256" t="s">
        <v>81</v>
      </c>
      <c r="AD36" s="339" t="s">
        <v>67</v>
      </c>
      <c r="AE36" s="34">
        <f t="shared" si="68"/>
        <v>11</v>
      </c>
      <c r="AF36" s="36">
        <f t="shared" si="19"/>
        <v>6</v>
      </c>
      <c r="AG36" s="106"/>
      <c r="AH36" s="110"/>
      <c r="AI36" s="106"/>
      <c r="AJ36" s="106"/>
      <c r="AK36" s="74">
        <f t="shared" si="1"/>
        <v>1</v>
      </c>
      <c r="AL36" s="38">
        <f t="shared" si="2"/>
        <v>1</v>
      </c>
      <c r="AM36" s="75">
        <f t="shared" si="35"/>
        <v>1</v>
      </c>
      <c r="AN36" s="75">
        <f t="shared" si="35"/>
        <v>1</v>
      </c>
      <c r="AO36" s="75">
        <f t="shared" si="36"/>
        <v>1</v>
      </c>
      <c r="AP36" s="75">
        <f t="shared" si="36"/>
        <v>1</v>
      </c>
      <c r="AQ36" s="75">
        <f t="shared" si="37"/>
        <v>1</v>
      </c>
      <c r="AR36" s="75">
        <f t="shared" si="37"/>
        <v>1</v>
      </c>
      <c r="AS36" s="126" t="s">
        <v>42</v>
      </c>
      <c r="AT36" s="17">
        <f t="shared" si="6"/>
        <v>1</v>
      </c>
      <c r="AU36" s="17">
        <f t="shared" si="7"/>
        <v>0</v>
      </c>
      <c r="AV36" s="17">
        <f t="shared" si="8"/>
        <v>0</v>
      </c>
      <c r="AW36" s="11">
        <f t="shared" si="9"/>
        <v>0</v>
      </c>
      <c r="AX36" s="11">
        <f t="shared" si="10"/>
        <v>1</v>
      </c>
      <c r="AY36" s="11">
        <f t="shared" si="11"/>
        <v>0</v>
      </c>
      <c r="AZ36" s="11">
        <f t="shared" si="12"/>
        <v>4</v>
      </c>
      <c r="BA36" s="11">
        <f t="shared" si="13"/>
        <v>1</v>
      </c>
      <c r="BB36" s="11">
        <f t="shared" si="20"/>
        <v>0</v>
      </c>
      <c r="BC36" s="11">
        <f t="shared" si="63"/>
        <v>0</v>
      </c>
      <c r="BD36" s="11">
        <f t="shared" si="15"/>
        <v>4</v>
      </c>
      <c r="BE36" s="28">
        <f t="shared" si="16"/>
        <v>10</v>
      </c>
      <c r="BF36" s="29">
        <f t="shared" si="17"/>
        <v>4</v>
      </c>
      <c r="BG36" s="11">
        <f t="shared" si="18"/>
        <v>10</v>
      </c>
    </row>
    <row r="37" spans="1:59">
      <c r="A37" s="126" t="s">
        <v>43</v>
      </c>
      <c r="B37" s="63"/>
      <c r="C37" s="337" t="s">
        <v>66</v>
      </c>
      <c r="D37" s="187" t="s">
        <v>80</v>
      </c>
      <c r="E37" s="187" t="s">
        <v>81</v>
      </c>
      <c r="F37" s="187" t="s">
        <v>65</v>
      </c>
      <c r="G37" s="187" t="s">
        <v>97</v>
      </c>
      <c r="H37" s="187" t="s">
        <v>82</v>
      </c>
      <c r="I37" s="308" t="s">
        <v>67</v>
      </c>
      <c r="J37" s="309" t="s">
        <v>67</v>
      </c>
      <c r="K37" s="187" t="s">
        <v>67</v>
      </c>
      <c r="L37" s="187" t="s">
        <v>80</v>
      </c>
      <c r="M37" s="187" t="s">
        <v>7</v>
      </c>
      <c r="N37" s="256" t="s">
        <v>67</v>
      </c>
      <c r="O37" s="256" t="s">
        <v>67</v>
      </c>
      <c r="P37" s="340" t="s">
        <v>5</v>
      </c>
      <c r="Q37" s="309" t="s">
        <v>67</v>
      </c>
      <c r="R37" s="187" t="s">
        <v>67</v>
      </c>
      <c r="S37" s="187" t="s">
        <v>82</v>
      </c>
      <c r="T37" s="187" t="s">
        <v>7</v>
      </c>
      <c r="U37" s="187" t="s">
        <v>67</v>
      </c>
      <c r="V37" s="256" t="s">
        <v>81</v>
      </c>
      <c r="W37" s="339" t="s">
        <v>67</v>
      </c>
      <c r="X37" s="325" t="s">
        <v>80</v>
      </c>
      <c r="Y37" s="187" t="s">
        <v>80</v>
      </c>
      <c r="Z37" s="187" t="s">
        <v>80</v>
      </c>
      <c r="AA37" s="187" t="s">
        <v>7</v>
      </c>
      <c r="AB37" s="187" t="s">
        <v>82</v>
      </c>
      <c r="AC37" s="187" t="s">
        <v>66</v>
      </c>
      <c r="AD37" s="339" t="s">
        <v>66</v>
      </c>
      <c r="AE37" s="34">
        <f t="shared" si="68"/>
        <v>11</v>
      </c>
      <c r="AF37" s="36">
        <f t="shared" si="19"/>
        <v>5</v>
      </c>
      <c r="AG37" s="106"/>
      <c r="AH37" s="110"/>
      <c r="AI37" s="106"/>
      <c r="AJ37" s="106"/>
      <c r="AK37" s="74">
        <f t="shared" si="1"/>
        <v>1</v>
      </c>
      <c r="AL37" s="38">
        <f t="shared" si="2"/>
        <v>1</v>
      </c>
      <c r="AM37" s="75">
        <f t="shared" si="35"/>
        <v>1</v>
      </c>
      <c r="AN37" s="75">
        <f t="shared" si="35"/>
        <v>1</v>
      </c>
      <c r="AO37" s="75">
        <f t="shared" si="36"/>
        <v>1</v>
      </c>
      <c r="AP37" s="75">
        <f t="shared" si="36"/>
        <v>1</v>
      </c>
      <c r="AQ37" s="75">
        <f t="shared" si="37"/>
        <v>1</v>
      </c>
      <c r="AR37" s="75">
        <f t="shared" si="37"/>
        <v>1</v>
      </c>
      <c r="AS37" s="126" t="s">
        <v>43</v>
      </c>
      <c r="AT37" s="17">
        <f t="shared" si="6"/>
        <v>0</v>
      </c>
      <c r="AU37" s="17">
        <f t="shared" si="7"/>
        <v>0</v>
      </c>
      <c r="AV37" s="17">
        <f t="shared" si="8"/>
        <v>0</v>
      </c>
      <c r="AW37" s="11">
        <f t="shared" si="9"/>
        <v>0</v>
      </c>
      <c r="AX37" s="11">
        <f t="shared" si="10"/>
        <v>0</v>
      </c>
      <c r="AY37" s="11">
        <f t="shared" si="11"/>
        <v>0</v>
      </c>
      <c r="AZ37" s="11">
        <f t="shared" si="12"/>
        <v>4</v>
      </c>
      <c r="BA37" s="11">
        <f t="shared" si="13"/>
        <v>2</v>
      </c>
      <c r="BB37" s="11">
        <f t="shared" si="20"/>
        <v>0</v>
      </c>
      <c r="BC37" s="11">
        <f t="shared" si="63"/>
        <v>1</v>
      </c>
      <c r="BD37" s="11">
        <f t="shared" si="15"/>
        <v>4</v>
      </c>
      <c r="BE37" s="28">
        <f t="shared" si="16"/>
        <v>11</v>
      </c>
      <c r="BF37" s="29">
        <f t="shared" si="17"/>
        <v>4</v>
      </c>
      <c r="BG37" s="11">
        <f t="shared" si="18"/>
        <v>11</v>
      </c>
    </row>
    <row r="38" spans="1:59">
      <c r="A38" s="126" t="s">
        <v>44</v>
      </c>
      <c r="B38" s="62"/>
      <c r="C38" s="337" t="s">
        <v>7</v>
      </c>
      <c r="D38" s="187" t="s">
        <v>67</v>
      </c>
      <c r="E38" s="187" t="s">
        <v>82</v>
      </c>
      <c r="F38" s="187" t="s">
        <v>66</v>
      </c>
      <c r="G38" s="187" t="s">
        <v>66</v>
      </c>
      <c r="H38" s="187" t="s">
        <v>67</v>
      </c>
      <c r="I38" s="308" t="s">
        <v>67</v>
      </c>
      <c r="J38" s="309" t="s">
        <v>7</v>
      </c>
      <c r="K38" s="187" t="s">
        <v>67</v>
      </c>
      <c r="L38" s="187" t="s">
        <v>67</v>
      </c>
      <c r="M38" s="187" t="s">
        <v>67</v>
      </c>
      <c r="N38" s="187" t="s">
        <v>82</v>
      </c>
      <c r="O38" s="187" t="s">
        <v>80</v>
      </c>
      <c r="P38" s="339" t="s">
        <v>80</v>
      </c>
      <c r="Q38" s="309" t="s">
        <v>7</v>
      </c>
      <c r="R38" s="187" t="s">
        <v>69</v>
      </c>
      <c r="S38" s="256" t="s">
        <v>81</v>
      </c>
      <c r="T38" s="256" t="s">
        <v>66</v>
      </c>
      <c r="U38" s="256" t="s">
        <v>80</v>
      </c>
      <c r="V38" s="256" t="s">
        <v>84</v>
      </c>
      <c r="W38" s="339" t="s">
        <v>82</v>
      </c>
      <c r="X38" s="309" t="s">
        <v>7</v>
      </c>
      <c r="Y38" s="187" t="s">
        <v>66</v>
      </c>
      <c r="Z38" s="187" t="s">
        <v>66</v>
      </c>
      <c r="AA38" s="187" t="s">
        <v>66</v>
      </c>
      <c r="AB38" s="187" t="s">
        <v>80</v>
      </c>
      <c r="AC38" s="187" t="s">
        <v>80</v>
      </c>
      <c r="AD38" s="339" t="s">
        <v>82</v>
      </c>
      <c r="AE38" s="34">
        <f t="shared" si="68"/>
        <v>11</v>
      </c>
      <c r="AF38" s="36">
        <f t="shared" si="19"/>
        <v>5</v>
      </c>
      <c r="AG38" s="106"/>
      <c r="AH38" s="110"/>
      <c r="AI38" s="106"/>
      <c r="AJ38" s="106"/>
      <c r="AK38" s="74">
        <f t="shared" si="1"/>
        <v>1</v>
      </c>
      <c r="AL38" s="38">
        <f t="shared" si="2"/>
        <v>1</v>
      </c>
      <c r="AM38" s="75">
        <f t="shared" si="35"/>
        <v>1</v>
      </c>
      <c r="AN38" s="75">
        <f t="shared" si="35"/>
        <v>1</v>
      </c>
      <c r="AO38" s="75">
        <f t="shared" si="36"/>
        <v>1</v>
      </c>
      <c r="AP38" s="75">
        <f t="shared" si="36"/>
        <v>1</v>
      </c>
      <c r="AQ38" s="75">
        <f t="shared" si="37"/>
        <v>1</v>
      </c>
      <c r="AR38" s="75">
        <f t="shared" si="37"/>
        <v>1</v>
      </c>
      <c r="AS38" s="126" t="s">
        <v>44</v>
      </c>
      <c r="AT38" s="17">
        <f t="shared" si="6"/>
        <v>1</v>
      </c>
      <c r="AU38" s="17">
        <f t="shared" si="7"/>
        <v>0</v>
      </c>
      <c r="AV38" s="17">
        <f t="shared" si="8"/>
        <v>0</v>
      </c>
      <c r="AW38" s="11">
        <f t="shared" si="9"/>
        <v>0</v>
      </c>
      <c r="AX38" s="11">
        <f t="shared" si="10"/>
        <v>1</v>
      </c>
      <c r="AY38" s="11">
        <f t="shared" si="11"/>
        <v>0</v>
      </c>
      <c r="AZ38" s="11">
        <f t="shared" si="12"/>
        <v>4</v>
      </c>
      <c r="BA38" s="11">
        <f t="shared" si="13"/>
        <v>1</v>
      </c>
      <c r="BB38" s="11">
        <f t="shared" si="20"/>
        <v>0</v>
      </c>
      <c r="BC38" s="11">
        <f t="shared" si="63"/>
        <v>0</v>
      </c>
      <c r="BD38" s="11">
        <f t="shared" si="15"/>
        <v>4</v>
      </c>
      <c r="BE38" s="28">
        <f t="shared" si="16"/>
        <v>10</v>
      </c>
      <c r="BF38" s="29">
        <f t="shared" si="17"/>
        <v>5</v>
      </c>
      <c r="BG38" s="11">
        <f t="shared" si="18"/>
        <v>10</v>
      </c>
    </row>
    <row r="39" spans="1:59">
      <c r="A39" s="126" t="s">
        <v>45</v>
      </c>
      <c r="B39" s="62"/>
      <c r="C39" s="337" t="s">
        <v>80</v>
      </c>
      <c r="D39" s="187" t="s">
        <v>7</v>
      </c>
      <c r="E39" s="187" t="s">
        <v>82</v>
      </c>
      <c r="F39" s="187" t="s">
        <v>67</v>
      </c>
      <c r="G39" s="187" t="s">
        <v>69</v>
      </c>
      <c r="H39" s="187" t="s">
        <v>80</v>
      </c>
      <c r="I39" s="308" t="s">
        <v>80</v>
      </c>
      <c r="J39" s="309" t="s">
        <v>82</v>
      </c>
      <c r="K39" s="187" t="s">
        <v>7</v>
      </c>
      <c r="L39" s="187" t="s">
        <v>97</v>
      </c>
      <c r="M39" s="256" t="s">
        <v>66</v>
      </c>
      <c r="N39" s="256" t="s">
        <v>66</v>
      </c>
      <c r="O39" s="256" t="s">
        <v>66</v>
      </c>
      <c r="P39" s="339" t="s">
        <v>84</v>
      </c>
      <c r="Q39" s="309" t="s">
        <v>67</v>
      </c>
      <c r="R39" s="187" t="s">
        <v>7</v>
      </c>
      <c r="S39" s="256" t="s">
        <v>66</v>
      </c>
      <c r="T39" s="256" t="s">
        <v>67</v>
      </c>
      <c r="U39" s="256" t="s">
        <v>82</v>
      </c>
      <c r="V39" s="256" t="s">
        <v>67</v>
      </c>
      <c r="W39" s="339" t="s">
        <v>80</v>
      </c>
      <c r="X39" s="309" t="s">
        <v>80</v>
      </c>
      <c r="Y39" s="187" t="s">
        <v>7</v>
      </c>
      <c r="Z39" s="187" t="s">
        <v>82</v>
      </c>
      <c r="AA39" s="257" t="s">
        <v>66</v>
      </c>
      <c r="AB39" s="187" t="s">
        <v>66</v>
      </c>
      <c r="AC39" s="187" t="s">
        <v>67</v>
      </c>
      <c r="AD39" s="340" t="s">
        <v>67</v>
      </c>
      <c r="AE39" s="34">
        <f t="shared" si="68"/>
        <v>11</v>
      </c>
      <c r="AF39" s="36">
        <f t="shared" si="19"/>
        <v>5</v>
      </c>
      <c r="AG39" s="106"/>
      <c r="AH39" s="110"/>
      <c r="AI39" s="106"/>
      <c r="AJ39" s="106"/>
      <c r="AK39" s="74">
        <f>COUNTIF($C39:$I39,AK$6)</f>
        <v>1</v>
      </c>
      <c r="AL39" s="38">
        <f>COUNTIF($C39:$I39,AL$6&amp;"*")</f>
        <v>1</v>
      </c>
      <c r="AM39" s="75">
        <f>COUNTIF($J39:$P39,AM$6)</f>
        <v>1</v>
      </c>
      <c r="AN39" s="75">
        <f>COUNTIF($J39:$P39,AN$6)</f>
        <v>1</v>
      </c>
      <c r="AO39" s="75">
        <f>COUNTIF($Q39:$W39,AO$6)</f>
        <v>1</v>
      </c>
      <c r="AP39" s="75">
        <f>COUNTIF($Q39:$W39,AP$6)</f>
        <v>1</v>
      </c>
      <c r="AQ39" s="75">
        <f>COUNTIF($X39:$AD39,AQ$6)</f>
        <v>1</v>
      </c>
      <c r="AR39" s="76">
        <f>COUNTIF($X39:$AD39,AR$6)</f>
        <v>1</v>
      </c>
      <c r="AS39" s="126" t="s">
        <v>45</v>
      </c>
      <c r="AT39" s="17">
        <f t="shared" si="6"/>
        <v>1</v>
      </c>
      <c r="AU39" s="17">
        <f t="shared" si="7"/>
        <v>0</v>
      </c>
      <c r="AV39" s="17">
        <f t="shared" si="8"/>
        <v>0</v>
      </c>
      <c r="AW39" s="11">
        <f t="shared" si="9"/>
        <v>0</v>
      </c>
      <c r="AX39" s="11">
        <f t="shared" si="10"/>
        <v>1</v>
      </c>
      <c r="AY39" s="11">
        <f t="shared" si="11"/>
        <v>0</v>
      </c>
      <c r="AZ39" s="11">
        <f t="shared" si="12"/>
        <v>4</v>
      </c>
      <c r="BA39" s="11">
        <f t="shared" si="13"/>
        <v>0</v>
      </c>
      <c r="BB39" s="11">
        <f t="shared" si="20"/>
        <v>0</v>
      </c>
      <c r="BC39" s="11">
        <f t="shared" si="63"/>
        <v>1</v>
      </c>
      <c r="BD39" s="11">
        <f t="shared" si="15"/>
        <v>4</v>
      </c>
      <c r="BE39" s="28">
        <f t="shared" si="16"/>
        <v>10</v>
      </c>
      <c r="BF39" s="29">
        <f t="shared" si="17"/>
        <v>2</v>
      </c>
      <c r="BG39" s="11">
        <f t="shared" si="18"/>
        <v>10</v>
      </c>
    </row>
    <row r="40" spans="1:59" ht="17.25" thickBot="1">
      <c r="A40" s="126" t="s">
        <v>46</v>
      </c>
      <c r="B40" s="62"/>
      <c r="C40" s="341" t="s">
        <v>12</v>
      </c>
      <c r="D40" s="187" t="s">
        <v>80</v>
      </c>
      <c r="E40" s="187" t="s">
        <v>80</v>
      </c>
      <c r="F40" s="187" t="s">
        <v>89</v>
      </c>
      <c r="G40" s="187" t="s">
        <v>7</v>
      </c>
      <c r="H40" s="187" t="s">
        <v>66</v>
      </c>
      <c r="I40" s="308" t="s">
        <v>66</v>
      </c>
      <c r="J40" s="309" t="s">
        <v>67</v>
      </c>
      <c r="K40" s="187" t="s">
        <v>80</v>
      </c>
      <c r="L40" s="187" t="s">
        <v>80</v>
      </c>
      <c r="M40" s="257" t="s">
        <v>82</v>
      </c>
      <c r="N40" s="187" t="s">
        <v>7</v>
      </c>
      <c r="O40" s="187" t="s">
        <v>66</v>
      </c>
      <c r="P40" s="339" t="s">
        <v>66</v>
      </c>
      <c r="Q40" s="309" t="s">
        <v>66</v>
      </c>
      <c r="R40" s="256" t="s">
        <v>66</v>
      </c>
      <c r="S40" s="256" t="s">
        <v>67</v>
      </c>
      <c r="T40" s="256" t="s">
        <v>82</v>
      </c>
      <c r="U40" s="256" t="s">
        <v>7</v>
      </c>
      <c r="V40" s="256" t="s">
        <v>66</v>
      </c>
      <c r="W40" s="339" t="s">
        <v>66</v>
      </c>
      <c r="X40" s="309" t="s">
        <v>66</v>
      </c>
      <c r="Y40" s="187" t="s">
        <v>81</v>
      </c>
      <c r="Z40" s="187" t="s">
        <v>82</v>
      </c>
      <c r="AA40" s="256" t="s">
        <v>80</v>
      </c>
      <c r="AB40" s="187" t="s">
        <v>7</v>
      </c>
      <c r="AC40" s="187" t="s">
        <v>67</v>
      </c>
      <c r="AD40" s="339" t="s">
        <v>84</v>
      </c>
      <c r="AE40" s="34">
        <f t="shared" si="68"/>
        <v>11</v>
      </c>
      <c r="AF40" s="386">
        <f t="shared" si="19"/>
        <v>5</v>
      </c>
      <c r="AG40" s="106"/>
      <c r="AH40" s="110"/>
      <c r="AI40" s="106"/>
      <c r="AJ40" s="106"/>
      <c r="AK40" s="78">
        <f>COUNTIF($C40:$I40,AK$6)</f>
        <v>1</v>
      </c>
      <c r="AL40" s="53">
        <f>COUNTIF($C40:$I40,AL$6&amp;"*")</f>
        <v>1</v>
      </c>
      <c r="AM40" s="79">
        <f>COUNTIF($J40:$P40,AM$6)</f>
        <v>1</v>
      </c>
      <c r="AN40" s="79">
        <f>COUNTIF($J40:$P40,AN$6)</f>
        <v>1</v>
      </c>
      <c r="AO40" s="79">
        <f>COUNTIF($Q40:$W40,AO$6)</f>
        <v>1</v>
      </c>
      <c r="AP40" s="79">
        <f>COUNTIF($Q40:$W40,AP$6)</f>
        <v>1</v>
      </c>
      <c r="AQ40" s="79">
        <f>COUNTIF($X40:$AD40,AQ$6)</f>
        <v>1</v>
      </c>
      <c r="AR40" s="80">
        <f>COUNTIF($X40:$AD40,AR$6)</f>
        <v>1</v>
      </c>
      <c r="AS40" s="126" t="s">
        <v>46</v>
      </c>
      <c r="AT40" s="17">
        <f t="shared" si="6"/>
        <v>1</v>
      </c>
      <c r="AU40" s="17">
        <f t="shared" si="7"/>
        <v>0</v>
      </c>
      <c r="AV40" s="17">
        <f t="shared" si="8"/>
        <v>0</v>
      </c>
      <c r="AW40" s="11">
        <f t="shared" si="9"/>
        <v>0</v>
      </c>
      <c r="AX40" s="11">
        <f t="shared" si="10"/>
        <v>1</v>
      </c>
      <c r="AY40" s="11">
        <f t="shared" si="11"/>
        <v>0</v>
      </c>
      <c r="AZ40" s="11">
        <f t="shared" si="12"/>
        <v>4</v>
      </c>
      <c r="BA40" s="11">
        <f t="shared" si="13"/>
        <v>1</v>
      </c>
      <c r="BB40" s="11">
        <f t="shared" si="20"/>
        <v>0</v>
      </c>
      <c r="BC40" s="11">
        <f t="shared" si="63"/>
        <v>0</v>
      </c>
      <c r="BD40" s="11">
        <f t="shared" si="15"/>
        <v>4</v>
      </c>
      <c r="BE40" s="28">
        <f t="shared" si="16"/>
        <v>10</v>
      </c>
      <c r="BF40" s="29">
        <f t="shared" si="17"/>
        <v>3</v>
      </c>
      <c r="BG40" s="11">
        <f t="shared" si="18"/>
        <v>10</v>
      </c>
    </row>
    <row r="41" spans="1:59" ht="17.25" thickBot="1">
      <c r="A41" s="126" t="s">
        <v>47</v>
      </c>
      <c r="B41" s="62"/>
      <c r="C41" s="342" t="s">
        <v>66</v>
      </c>
      <c r="D41" s="256" t="s">
        <v>66</v>
      </c>
      <c r="E41" s="258" t="s">
        <v>14</v>
      </c>
      <c r="F41" s="187" t="s">
        <v>80</v>
      </c>
      <c r="G41" s="187" t="s">
        <v>80</v>
      </c>
      <c r="H41" s="187" t="s">
        <v>7</v>
      </c>
      <c r="I41" s="310" t="s">
        <v>5</v>
      </c>
      <c r="J41" s="325" t="s">
        <v>66</v>
      </c>
      <c r="K41" s="187" t="s">
        <v>67</v>
      </c>
      <c r="L41" s="187" t="s">
        <v>67</v>
      </c>
      <c r="M41" s="257" t="s">
        <v>82</v>
      </c>
      <c r="N41" s="256" t="s">
        <v>81</v>
      </c>
      <c r="O41" s="187" t="s">
        <v>65</v>
      </c>
      <c r="P41" s="339" t="s">
        <v>81</v>
      </c>
      <c r="Q41" s="325" t="s">
        <v>67</v>
      </c>
      <c r="R41" s="256" t="s">
        <v>80</v>
      </c>
      <c r="S41" s="256" t="s">
        <v>80</v>
      </c>
      <c r="T41" s="256" t="s">
        <v>80</v>
      </c>
      <c r="U41" s="256" t="s">
        <v>82</v>
      </c>
      <c r="V41" s="256" t="s">
        <v>7</v>
      </c>
      <c r="W41" s="339" t="s">
        <v>66</v>
      </c>
      <c r="X41" s="325" t="s">
        <v>66</v>
      </c>
      <c r="Y41" s="187" t="s">
        <v>67</v>
      </c>
      <c r="Z41" s="187" t="s">
        <v>67</v>
      </c>
      <c r="AA41" s="257" t="s">
        <v>82</v>
      </c>
      <c r="AB41" s="187" t="s">
        <v>67</v>
      </c>
      <c r="AC41" s="187" t="s">
        <v>7</v>
      </c>
      <c r="AD41" s="339" t="s">
        <v>80</v>
      </c>
      <c r="AE41" s="34">
        <f t="shared" si="68"/>
        <v>11</v>
      </c>
      <c r="AF41" s="386">
        <f t="shared" si="19"/>
        <v>6</v>
      </c>
      <c r="AG41" s="106"/>
      <c r="AH41" s="110"/>
      <c r="AI41" s="106"/>
      <c r="AJ41" s="106"/>
      <c r="AK41" s="78">
        <f t="shared" ref="AK41:AK43" si="69">COUNTIF($C41:$I41,AK$6)</f>
        <v>1</v>
      </c>
      <c r="AL41" s="53">
        <f t="shared" ref="AL41:AL43" si="70">COUNTIF($C41:$I41,AL$6&amp;"*")</f>
        <v>1</v>
      </c>
      <c r="AM41" s="79">
        <f t="shared" ref="AM41:AN43" si="71">COUNTIF($J41:$P41,AM$6)</f>
        <v>1</v>
      </c>
      <c r="AN41" s="79">
        <f t="shared" si="71"/>
        <v>1</v>
      </c>
      <c r="AO41" s="79">
        <f t="shared" ref="AO41:AP43" si="72">COUNTIF($Q41:$W41,AO$6)</f>
        <v>1</v>
      </c>
      <c r="AP41" s="79">
        <f t="shared" si="72"/>
        <v>1</v>
      </c>
      <c r="AQ41" s="79">
        <f t="shared" ref="AQ41:AR43" si="73">COUNTIF($X41:$AD41,AQ$6)</f>
        <v>1</v>
      </c>
      <c r="AR41" s="80">
        <f t="shared" si="73"/>
        <v>1</v>
      </c>
      <c r="AS41" s="63" t="s">
        <v>47</v>
      </c>
      <c r="AT41" s="17">
        <f t="shared" si="6"/>
        <v>0</v>
      </c>
      <c r="AU41" s="17">
        <f t="shared" si="7"/>
        <v>0</v>
      </c>
      <c r="AV41" s="17">
        <f t="shared" si="8"/>
        <v>0</v>
      </c>
      <c r="AW41" s="11">
        <f t="shared" si="9"/>
        <v>0</v>
      </c>
      <c r="AX41" s="11">
        <f t="shared" si="10"/>
        <v>0</v>
      </c>
      <c r="AY41" s="11">
        <f t="shared" si="11"/>
        <v>0</v>
      </c>
      <c r="AZ41" s="11">
        <f t="shared" si="12"/>
        <v>4</v>
      </c>
      <c r="BA41" s="11">
        <f t="shared" si="13"/>
        <v>3</v>
      </c>
      <c r="BB41" s="11">
        <f t="shared" si="20"/>
        <v>0</v>
      </c>
      <c r="BC41" s="11">
        <f t="shared" si="63"/>
        <v>0</v>
      </c>
      <c r="BD41" s="11">
        <f t="shared" si="15"/>
        <v>4</v>
      </c>
      <c r="BE41" s="28">
        <f t="shared" si="16"/>
        <v>11</v>
      </c>
      <c r="BF41" s="29">
        <f t="shared" si="17"/>
        <v>4</v>
      </c>
      <c r="BG41" s="11">
        <f t="shared" si="18"/>
        <v>11</v>
      </c>
    </row>
    <row r="42" spans="1:59" ht="17.25" thickBot="1">
      <c r="A42" s="126" t="s">
        <v>48</v>
      </c>
      <c r="B42" s="62"/>
      <c r="C42" s="342" t="s">
        <v>67</v>
      </c>
      <c r="D42" s="256" t="s">
        <v>67</v>
      </c>
      <c r="E42" s="256" t="s">
        <v>67</v>
      </c>
      <c r="F42" s="256" t="s">
        <v>89</v>
      </c>
      <c r="G42" s="256" t="s">
        <v>66</v>
      </c>
      <c r="H42" s="256" t="s">
        <v>66</v>
      </c>
      <c r="I42" s="308" t="s">
        <v>7</v>
      </c>
      <c r="J42" s="325" t="s">
        <v>66</v>
      </c>
      <c r="K42" s="187" t="s">
        <v>66</v>
      </c>
      <c r="L42" s="258" t="s">
        <v>20</v>
      </c>
      <c r="M42" s="257" t="s">
        <v>80</v>
      </c>
      <c r="N42" s="187" t="s">
        <v>82</v>
      </c>
      <c r="O42" s="187" t="s">
        <v>67</v>
      </c>
      <c r="P42" s="339" t="s">
        <v>7</v>
      </c>
      <c r="Q42" s="325" t="s">
        <v>66</v>
      </c>
      <c r="R42" s="256" t="s">
        <v>66</v>
      </c>
      <c r="S42" s="256" t="s">
        <v>80</v>
      </c>
      <c r="T42" s="256" t="s">
        <v>80</v>
      </c>
      <c r="U42" s="256" t="s">
        <v>81</v>
      </c>
      <c r="V42" s="256" t="s">
        <v>82</v>
      </c>
      <c r="W42" s="339" t="s">
        <v>7</v>
      </c>
      <c r="X42" s="325" t="s">
        <v>66</v>
      </c>
      <c r="Y42" s="256" t="s">
        <v>80</v>
      </c>
      <c r="Z42" s="256" t="s">
        <v>80</v>
      </c>
      <c r="AA42" s="256" t="s">
        <v>81</v>
      </c>
      <c r="AB42" s="187" t="s">
        <v>82</v>
      </c>
      <c r="AC42" s="187" t="s">
        <v>81</v>
      </c>
      <c r="AD42" s="339" t="s">
        <v>7</v>
      </c>
      <c r="AE42" s="34">
        <f t="shared" si="68"/>
        <v>11</v>
      </c>
      <c r="AF42" s="386">
        <f t="shared" si="19"/>
        <v>5</v>
      </c>
      <c r="AG42" s="106"/>
      <c r="AH42" s="110"/>
      <c r="AI42" s="106"/>
      <c r="AJ42" s="106"/>
      <c r="AK42" s="78">
        <f t="shared" si="69"/>
        <v>1</v>
      </c>
      <c r="AL42" s="53">
        <f t="shared" si="70"/>
        <v>1</v>
      </c>
      <c r="AM42" s="79">
        <f t="shared" si="71"/>
        <v>1</v>
      </c>
      <c r="AN42" s="79">
        <f t="shared" si="71"/>
        <v>1</v>
      </c>
      <c r="AO42" s="79">
        <f t="shared" si="72"/>
        <v>1</v>
      </c>
      <c r="AP42" s="79">
        <f t="shared" si="72"/>
        <v>1</v>
      </c>
      <c r="AQ42" s="79">
        <f t="shared" si="73"/>
        <v>1</v>
      </c>
      <c r="AR42" s="80">
        <f t="shared" si="73"/>
        <v>1</v>
      </c>
      <c r="AS42" s="63" t="s">
        <v>48</v>
      </c>
      <c r="AT42" s="17">
        <f t="shared" si="6"/>
        <v>0</v>
      </c>
      <c r="AU42" s="17">
        <f t="shared" si="7"/>
        <v>0</v>
      </c>
      <c r="AV42" s="17">
        <f t="shared" si="8"/>
        <v>0</v>
      </c>
      <c r="AW42" s="11">
        <f t="shared" si="9"/>
        <v>0</v>
      </c>
      <c r="AX42" s="11">
        <f t="shared" si="10"/>
        <v>0</v>
      </c>
      <c r="AY42" s="11">
        <f t="shared" si="11"/>
        <v>0</v>
      </c>
      <c r="AZ42" s="11">
        <f t="shared" si="12"/>
        <v>4</v>
      </c>
      <c r="BA42" s="11">
        <f t="shared" si="13"/>
        <v>3</v>
      </c>
      <c r="BB42" s="11">
        <f t="shared" si="20"/>
        <v>0</v>
      </c>
      <c r="BC42" s="11">
        <f t="shared" si="63"/>
        <v>0</v>
      </c>
      <c r="BD42" s="11">
        <f t="shared" si="15"/>
        <v>4</v>
      </c>
      <c r="BE42" s="28">
        <f t="shared" si="16"/>
        <v>11</v>
      </c>
      <c r="BF42" s="29">
        <f t="shared" si="17"/>
        <v>5</v>
      </c>
      <c r="BG42" s="11">
        <f t="shared" si="18"/>
        <v>11</v>
      </c>
    </row>
    <row r="43" spans="1:59" ht="17.25" thickBot="1">
      <c r="A43" s="126" t="s">
        <v>49</v>
      </c>
      <c r="B43" s="62"/>
      <c r="C43" s="337" t="s">
        <v>67</v>
      </c>
      <c r="D43" s="187" t="s">
        <v>67</v>
      </c>
      <c r="E43" s="187" t="s">
        <v>80</v>
      </c>
      <c r="F43" s="187" t="s">
        <v>80</v>
      </c>
      <c r="G43" s="187" t="s">
        <v>80</v>
      </c>
      <c r="H43" s="187" t="s">
        <v>7</v>
      </c>
      <c r="I43" s="308" t="s">
        <v>82</v>
      </c>
      <c r="J43" s="325" t="s">
        <v>67</v>
      </c>
      <c r="K43" s="187" t="s">
        <v>80</v>
      </c>
      <c r="L43" s="187" t="s">
        <v>81</v>
      </c>
      <c r="M43" s="257" t="s">
        <v>69</v>
      </c>
      <c r="N43" s="187" t="s">
        <v>82</v>
      </c>
      <c r="O43" s="187" t="s">
        <v>7</v>
      </c>
      <c r="P43" s="339" t="s">
        <v>66</v>
      </c>
      <c r="Q43" s="325" t="s">
        <v>67</v>
      </c>
      <c r="R43" s="256" t="s">
        <v>67</v>
      </c>
      <c r="S43" s="256" t="s">
        <v>81</v>
      </c>
      <c r="T43" s="256" t="s">
        <v>80</v>
      </c>
      <c r="U43" s="256" t="s">
        <v>80</v>
      </c>
      <c r="V43" s="256" t="s">
        <v>7</v>
      </c>
      <c r="W43" s="339" t="s">
        <v>82</v>
      </c>
      <c r="X43" s="325" t="s">
        <v>67</v>
      </c>
      <c r="Y43" s="256" t="s">
        <v>67</v>
      </c>
      <c r="Z43" s="256" t="s">
        <v>67</v>
      </c>
      <c r="AA43" s="257" t="s">
        <v>82</v>
      </c>
      <c r="AB43" s="187" t="s">
        <v>67</v>
      </c>
      <c r="AC43" s="187" t="s">
        <v>7</v>
      </c>
      <c r="AD43" s="338" t="s">
        <v>67</v>
      </c>
      <c r="AE43" s="34">
        <f t="shared" si="68"/>
        <v>11</v>
      </c>
      <c r="AF43" s="386">
        <f t="shared" si="19"/>
        <v>6</v>
      </c>
      <c r="AG43" s="106"/>
      <c r="AH43" s="110"/>
      <c r="AI43" s="106"/>
      <c r="AJ43" s="106"/>
      <c r="AK43" s="78">
        <f t="shared" si="69"/>
        <v>1</v>
      </c>
      <c r="AL43" s="53">
        <f t="shared" si="70"/>
        <v>1</v>
      </c>
      <c r="AM43" s="79">
        <f t="shared" si="71"/>
        <v>1</v>
      </c>
      <c r="AN43" s="79">
        <f t="shared" si="71"/>
        <v>1</v>
      </c>
      <c r="AO43" s="79">
        <f t="shared" si="72"/>
        <v>1</v>
      </c>
      <c r="AP43" s="79">
        <f t="shared" si="72"/>
        <v>1</v>
      </c>
      <c r="AQ43" s="79">
        <f t="shared" si="73"/>
        <v>1</v>
      </c>
      <c r="AR43" s="80">
        <f t="shared" si="73"/>
        <v>1</v>
      </c>
      <c r="AS43" s="63" t="s">
        <v>49</v>
      </c>
      <c r="AT43" s="17">
        <f t="shared" si="6"/>
        <v>0</v>
      </c>
      <c r="AU43" s="17">
        <f t="shared" si="7"/>
        <v>0</v>
      </c>
      <c r="AV43" s="17">
        <f t="shared" si="8"/>
        <v>0</v>
      </c>
      <c r="AW43" s="11">
        <f t="shared" si="9"/>
        <v>0</v>
      </c>
      <c r="AX43" s="11">
        <f t="shared" si="10"/>
        <v>1</v>
      </c>
      <c r="AY43" s="11">
        <f t="shared" si="11"/>
        <v>0</v>
      </c>
      <c r="AZ43" s="11">
        <f t="shared" si="12"/>
        <v>4</v>
      </c>
      <c r="BA43" s="11">
        <f t="shared" si="13"/>
        <v>2</v>
      </c>
      <c r="BB43" s="11">
        <f t="shared" si="20"/>
        <v>0</v>
      </c>
      <c r="BC43" s="11">
        <f t="shared" si="63"/>
        <v>0</v>
      </c>
      <c r="BD43" s="11">
        <f t="shared" si="15"/>
        <v>4</v>
      </c>
      <c r="BE43" s="28">
        <f t="shared" si="16"/>
        <v>11</v>
      </c>
      <c r="BF43" s="29">
        <f t="shared" si="17"/>
        <v>3</v>
      </c>
      <c r="BG43" s="11">
        <f t="shared" si="18"/>
        <v>11</v>
      </c>
    </row>
    <row r="44" spans="1:59" ht="17.25" thickBot="1">
      <c r="A44" s="224" t="s">
        <v>50</v>
      </c>
      <c r="B44" s="69"/>
      <c r="C44" s="343" t="s">
        <v>7</v>
      </c>
      <c r="D44" s="330" t="s">
        <v>82</v>
      </c>
      <c r="E44" s="330" t="s">
        <v>69</v>
      </c>
      <c r="F44" s="330" t="s">
        <v>67</v>
      </c>
      <c r="G44" s="330" t="s">
        <v>67</v>
      </c>
      <c r="H44" s="330" t="s">
        <v>67</v>
      </c>
      <c r="I44" s="331" t="s">
        <v>67</v>
      </c>
      <c r="J44" s="344" t="s">
        <v>7</v>
      </c>
      <c r="K44" s="330" t="s">
        <v>67</v>
      </c>
      <c r="L44" s="345" t="s">
        <v>80</v>
      </c>
      <c r="M44" s="346" t="s">
        <v>82</v>
      </c>
      <c r="N44" s="330" t="s">
        <v>67</v>
      </c>
      <c r="O44" s="330" t="s">
        <v>67</v>
      </c>
      <c r="P44" s="348" t="s">
        <v>67</v>
      </c>
      <c r="Q44" s="347" t="s">
        <v>7</v>
      </c>
      <c r="R44" s="330" t="s">
        <v>82</v>
      </c>
      <c r="S44" s="330" t="s">
        <v>67</v>
      </c>
      <c r="T44" s="330" t="s">
        <v>67</v>
      </c>
      <c r="U44" s="330" t="s">
        <v>67</v>
      </c>
      <c r="V44" s="330" t="s">
        <v>80</v>
      </c>
      <c r="W44" s="348" t="s">
        <v>80</v>
      </c>
      <c r="X44" s="311" t="s">
        <v>7</v>
      </c>
      <c r="Y44" s="312" t="s">
        <v>82</v>
      </c>
      <c r="Z44" s="312" t="s">
        <v>81</v>
      </c>
      <c r="AA44" s="390" t="s">
        <v>81</v>
      </c>
      <c r="AB44" s="312" t="s">
        <v>80</v>
      </c>
      <c r="AC44" s="312" t="s">
        <v>80</v>
      </c>
      <c r="AD44" s="376" t="s">
        <v>80</v>
      </c>
      <c r="AE44" s="51">
        <f t="shared" si="68"/>
        <v>11</v>
      </c>
      <c r="AF44" s="386">
        <f t="shared" si="19"/>
        <v>6</v>
      </c>
      <c r="AG44" s="106"/>
      <c r="AH44" s="110"/>
      <c r="AI44" s="106"/>
      <c r="AJ44" s="106"/>
      <c r="AK44" s="78">
        <f>COUNTIF($C44:$I44,AK$6)</f>
        <v>1</v>
      </c>
      <c r="AL44" s="53">
        <f>COUNTIF($C44:$I44,AL$6&amp;"*")</f>
        <v>1</v>
      </c>
      <c r="AM44" s="79">
        <f>COUNTIF($J44:$P44,AM$6)</f>
        <v>1</v>
      </c>
      <c r="AN44" s="79">
        <f>COUNTIF($J44:$P44,AN$6)</f>
        <v>1</v>
      </c>
      <c r="AO44" s="79">
        <f>COUNTIF($Q44:$W44,AO$6)</f>
        <v>1</v>
      </c>
      <c r="AP44" s="79">
        <f>COUNTIF($Q44:$W44,AP$6)</f>
        <v>1</v>
      </c>
      <c r="AQ44" s="79">
        <f>COUNTIF($X44:$AD44,AQ$6)</f>
        <v>1</v>
      </c>
      <c r="AR44" s="80">
        <f>COUNTIF($X44:$AD44,AR$6)</f>
        <v>1</v>
      </c>
      <c r="AS44" s="69" t="s">
        <v>50</v>
      </c>
      <c r="AT44" s="17">
        <f t="shared" si="6"/>
        <v>0</v>
      </c>
      <c r="AU44" s="17">
        <f t="shared" si="7"/>
        <v>0</v>
      </c>
      <c r="AV44" s="17">
        <f t="shared" si="8"/>
        <v>0</v>
      </c>
      <c r="AW44" s="11">
        <f t="shared" si="9"/>
        <v>0</v>
      </c>
      <c r="AX44" s="11">
        <f t="shared" si="10"/>
        <v>1</v>
      </c>
      <c r="AY44" s="11">
        <f t="shared" si="11"/>
        <v>0</v>
      </c>
      <c r="AZ44" s="11">
        <f t="shared" si="12"/>
        <v>4</v>
      </c>
      <c r="BA44" s="11">
        <f t="shared" si="13"/>
        <v>2</v>
      </c>
      <c r="BB44" s="11">
        <f t="shared" si="20"/>
        <v>0</v>
      </c>
      <c r="BC44" s="11">
        <f t="shared" si="63"/>
        <v>0</v>
      </c>
      <c r="BD44" s="11">
        <f t="shared" si="15"/>
        <v>4</v>
      </c>
      <c r="BE44" s="28">
        <f t="shared" si="16"/>
        <v>11</v>
      </c>
      <c r="BF44" s="29">
        <f t="shared" si="17"/>
        <v>6</v>
      </c>
      <c r="BG44" s="11">
        <f t="shared" si="18"/>
        <v>11</v>
      </c>
    </row>
    <row r="45" spans="1:59" ht="17.25" thickBot="1">
      <c r="A45" s="259" t="s">
        <v>51</v>
      </c>
      <c r="B45" s="263"/>
      <c r="C45" s="265"/>
      <c r="D45" s="266"/>
      <c r="E45" s="266"/>
      <c r="F45" s="266"/>
      <c r="G45" s="266"/>
      <c r="H45" s="266"/>
      <c r="I45" s="267"/>
      <c r="J45" s="265"/>
      <c r="K45" s="267"/>
      <c r="L45" s="266"/>
      <c r="M45" s="268"/>
      <c r="N45" s="266"/>
      <c r="O45" s="266"/>
      <c r="P45" s="267"/>
      <c r="Q45" s="265"/>
      <c r="R45" s="266"/>
      <c r="S45" s="266"/>
      <c r="T45" s="266"/>
      <c r="U45" s="266"/>
      <c r="V45" s="266"/>
      <c r="W45" s="267"/>
      <c r="X45" s="394"/>
      <c r="Y45" s="395"/>
      <c r="Z45" s="395"/>
      <c r="AA45" s="395"/>
      <c r="AB45" s="395"/>
      <c r="AC45" s="395"/>
      <c r="AD45" s="396"/>
      <c r="AE45" s="387">
        <f t="shared" si="68"/>
        <v>0</v>
      </c>
      <c r="AF45" s="77">
        <f t="shared" si="19"/>
        <v>0</v>
      </c>
      <c r="AG45" s="106"/>
      <c r="AH45" s="110"/>
      <c r="AI45" s="106"/>
      <c r="AJ45" s="106"/>
      <c r="AK45" s="78">
        <f t="shared" ref="AK45:AK48" si="74">COUNTIF($C45:$I45,AK$6)</f>
        <v>0</v>
      </c>
      <c r="AL45" s="53">
        <f t="shared" ref="AL45:AL48" si="75">COUNTIF($C45:$I45,AL$6&amp;"*")</f>
        <v>0</v>
      </c>
      <c r="AM45" s="79">
        <f t="shared" ref="AM45:AN48" si="76">COUNTIF($J45:$P45,AM$6)</f>
        <v>0</v>
      </c>
      <c r="AN45" s="79">
        <f t="shared" si="76"/>
        <v>0</v>
      </c>
      <c r="AO45" s="79">
        <f t="shared" ref="AO45:AP48" si="77">COUNTIF($Q45:$W45,AO$6)</f>
        <v>0</v>
      </c>
      <c r="AP45" s="79">
        <f t="shared" si="77"/>
        <v>0</v>
      </c>
      <c r="AQ45" s="79">
        <f t="shared" ref="AQ45:AR48" si="78">COUNTIF($X45:$AD45,AQ$6)</f>
        <v>0</v>
      </c>
      <c r="AR45" s="80">
        <f t="shared" si="78"/>
        <v>0</v>
      </c>
      <c r="AS45" s="188" t="s">
        <v>51</v>
      </c>
      <c r="AT45" s="17">
        <f t="shared" si="6"/>
        <v>0</v>
      </c>
      <c r="AU45" s="17">
        <f t="shared" si="7"/>
        <v>0</v>
      </c>
      <c r="AV45" s="17">
        <f t="shared" si="8"/>
        <v>0</v>
      </c>
      <c r="AW45" s="11">
        <f t="shared" si="9"/>
        <v>0</v>
      </c>
      <c r="AX45" s="11">
        <f t="shared" si="10"/>
        <v>0</v>
      </c>
      <c r="AY45" s="11">
        <f t="shared" si="11"/>
        <v>0</v>
      </c>
      <c r="AZ45" s="11">
        <f t="shared" si="12"/>
        <v>0</v>
      </c>
      <c r="BA45" s="11">
        <f t="shared" si="13"/>
        <v>0</v>
      </c>
      <c r="BB45" s="11">
        <f t="shared" si="20"/>
        <v>0</v>
      </c>
      <c r="BC45" s="11">
        <f t="shared" si="63"/>
        <v>0</v>
      </c>
      <c r="BD45" s="11">
        <f t="shared" si="15"/>
        <v>0</v>
      </c>
      <c r="BE45" s="28">
        <f t="shared" si="16"/>
        <v>0</v>
      </c>
      <c r="BF45" s="29">
        <f t="shared" si="17"/>
        <v>0</v>
      </c>
      <c r="BG45" s="11">
        <f t="shared" si="18"/>
        <v>0</v>
      </c>
    </row>
    <row r="46" spans="1:59" ht="17.25" thickBot="1">
      <c r="A46" s="260" t="s">
        <v>76</v>
      </c>
      <c r="B46" s="145"/>
      <c r="C46" s="269"/>
      <c r="D46" s="270"/>
      <c r="E46" s="270"/>
      <c r="F46" s="270"/>
      <c r="G46" s="270"/>
      <c r="H46" s="270"/>
      <c r="I46" s="271"/>
      <c r="J46" s="272"/>
      <c r="K46" s="270"/>
      <c r="L46" s="270"/>
      <c r="M46" s="270"/>
      <c r="N46" s="270"/>
      <c r="O46" s="270"/>
      <c r="P46" s="271"/>
      <c r="Q46" s="272"/>
      <c r="R46" s="270"/>
      <c r="S46" s="270"/>
      <c r="T46" s="270"/>
      <c r="U46" s="270"/>
      <c r="V46" s="270"/>
      <c r="W46" s="271"/>
      <c r="X46" s="391"/>
      <c r="Y46" s="392"/>
      <c r="Z46" s="392"/>
      <c r="AA46" s="392"/>
      <c r="AB46" s="392"/>
      <c r="AC46" s="392"/>
      <c r="AD46" s="393"/>
      <c r="AE46" s="51">
        <f t="shared" si="68"/>
        <v>0</v>
      </c>
      <c r="AF46" s="77">
        <f t="shared" si="19"/>
        <v>0</v>
      </c>
      <c r="AG46" s="106"/>
      <c r="AH46" s="110"/>
      <c r="AI46" s="106"/>
      <c r="AJ46" s="106"/>
      <c r="AK46" s="78">
        <f t="shared" si="74"/>
        <v>0</v>
      </c>
      <c r="AL46" s="53">
        <f t="shared" si="75"/>
        <v>0</v>
      </c>
      <c r="AM46" s="79">
        <f t="shared" si="76"/>
        <v>0</v>
      </c>
      <c r="AN46" s="79">
        <f t="shared" si="76"/>
        <v>0</v>
      </c>
      <c r="AO46" s="79">
        <f t="shared" si="77"/>
        <v>0</v>
      </c>
      <c r="AP46" s="79">
        <f t="shared" si="77"/>
        <v>0</v>
      </c>
      <c r="AQ46" s="79">
        <f t="shared" si="78"/>
        <v>0</v>
      </c>
      <c r="AR46" s="80">
        <f t="shared" si="78"/>
        <v>0</v>
      </c>
      <c r="AS46" s="190" t="s">
        <v>76</v>
      </c>
      <c r="AT46" s="17">
        <f t="shared" si="6"/>
        <v>0</v>
      </c>
      <c r="AU46" s="17">
        <f t="shared" si="7"/>
        <v>0</v>
      </c>
      <c r="AV46" s="17">
        <f t="shared" si="8"/>
        <v>0</v>
      </c>
      <c r="AW46" s="11">
        <f t="shared" si="9"/>
        <v>0</v>
      </c>
      <c r="AX46" s="11">
        <f t="shared" si="10"/>
        <v>0</v>
      </c>
      <c r="AY46" s="11">
        <f t="shared" si="11"/>
        <v>0</v>
      </c>
      <c r="AZ46" s="11">
        <f t="shared" si="12"/>
        <v>0</v>
      </c>
      <c r="BA46" s="11">
        <f t="shared" si="13"/>
        <v>0</v>
      </c>
      <c r="BB46" s="11">
        <f t="shared" si="20"/>
        <v>0</v>
      </c>
      <c r="BC46" s="11">
        <f t="shared" si="63"/>
        <v>0</v>
      </c>
      <c r="BD46" s="11">
        <f t="shared" si="15"/>
        <v>0</v>
      </c>
      <c r="BE46" s="28">
        <f t="shared" si="16"/>
        <v>0</v>
      </c>
      <c r="BF46" s="29">
        <f t="shared" si="17"/>
        <v>0</v>
      </c>
      <c r="BG46" s="11">
        <f t="shared" si="18"/>
        <v>0</v>
      </c>
    </row>
    <row r="47" spans="1:59" ht="17.25" thickBot="1">
      <c r="A47" s="261" t="s">
        <v>68</v>
      </c>
      <c r="B47" s="63"/>
      <c r="C47" s="268"/>
      <c r="D47" s="266"/>
      <c r="E47" s="266"/>
      <c r="F47" s="266"/>
      <c r="G47" s="266"/>
      <c r="H47" s="266"/>
      <c r="I47" s="274"/>
      <c r="J47" s="265"/>
      <c r="K47" s="266"/>
      <c r="L47" s="266"/>
      <c r="M47" s="266"/>
      <c r="N47" s="266"/>
      <c r="O47" s="266"/>
      <c r="P47" s="274"/>
      <c r="Q47" s="265"/>
      <c r="R47" s="266"/>
      <c r="S47" s="266"/>
      <c r="T47" s="266"/>
      <c r="U47" s="266"/>
      <c r="V47" s="266"/>
      <c r="W47" s="274"/>
      <c r="X47" s="265"/>
      <c r="Y47" s="266"/>
      <c r="Z47" s="266"/>
      <c r="AA47" s="266"/>
      <c r="AB47" s="266"/>
      <c r="AC47" s="266"/>
      <c r="AD47" s="267"/>
      <c r="AE47" s="51">
        <f t="shared" si="68"/>
        <v>0</v>
      </c>
      <c r="AF47" s="77">
        <f t="shared" si="19"/>
        <v>0</v>
      </c>
      <c r="AG47" s="106"/>
      <c r="AH47" s="110"/>
      <c r="AI47" s="106"/>
      <c r="AJ47" s="106"/>
      <c r="AK47" s="78">
        <f t="shared" si="74"/>
        <v>0</v>
      </c>
      <c r="AL47" s="53">
        <f t="shared" si="75"/>
        <v>0</v>
      </c>
      <c r="AM47" s="79">
        <f t="shared" si="76"/>
        <v>0</v>
      </c>
      <c r="AN47" s="79">
        <f t="shared" si="76"/>
        <v>0</v>
      </c>
      <c r="AO47" s="79">
        <f t="shared" si="77"/>
        <v>0</v>
      </c>
      <c r="AP47" s="79">
        <f t="shared" si="77"/>
        <v>0</v>
      </c>
      <c r="AQ47" s="79">
        <f t="shared" si="78"/>
        <v>0</v>
      </c>
      <c r="AR47" s="80">
        <f t="shared" si="78"/>
        <v>0</v>
      </c>
      <c r="AS47" s="248" t="s">
        <v>68</v>
      </c>
      <c r="AT47" s="17">
        <f t="shared" si="6"/>
        <v>0</v>
      </c>
      <c r="AU47" s="17">
        <f t="shared" si="7"/>
        <v>0</v>
      </c>
      <c r="AV47" s="17">
        <f t="shared" si="8"/>
        <v>0</v>
      </c>
      <c r="AW47" s="11">
        <f t="shared" si="9"/>
        <v>0</v>
      </c>
      <c r="AX47" s="11">
        <f t="shared" si="10"/>
        <v>0</v>
      </c>
      <c r="AY47" s="11">
        <f t="shared" si="11"/>
        <v>0</v>
      </c>
      <c r="AZ47" s="11">
        <f t="shared" si="12"/>
        <v>0</v>
      </c>
      <c r="BA47" s="11">
        <f t="shared" si="13"/>
        <v>0</v>
      </c>
      <c r="BB47" s="11">
        <f t="shared" si="20"/>
        <v>0</v>
      </c>
      <c r="BC47" s="11">
        <f t="shared" si="63"/>
        <v>0</v>
      </c>
      <c r="BD47" s="11">
        <f t="shared" si="15"/>
        <v>0</v>
      </c>
      <c r="BE47" s="28">
        <f t="shared" si="16"/>
        <v>0</v>
      </c>
      <c r="BF47" s="29">
        <f t="shared" si="17"/>
        <v>0</v>
      </c>
      <c r="BG47" s="11">
        <f t="shared" si="18"/>
        <v>0</v>
      </c>
    </row>
    <row r="48" spans="1:59" ht="17.25" thickBot="1">
      <c r="A48" s="262" t="s">
        <v>77</v>
      </c>
      <c r="B48" s="69"/>
      <c r="C48" s="275"/>
      <c r="D48" s="276"/>
      <c r="E48" s="276"/>
      <c r="F48" s="276"/>
      <c r="G48" s="276"/>
      <c r="H48" s="276"/>
      <c r="I48" s="277"/>
      <c r="J48" s="278"/>
      <c r="K48" s="276"/>
      <c r="L48" s="276"/>
      <c r="M48" s="276"/>
      <c r="N48" s="276"/>
      <c r="O48" s="276"/>
      <c r="P48" s="277"/>
      <c r="Q48" s="278"/>
      <c r="R48" s="276"/>
      <c r="S48" s="276"/>
      <c r="T48" s="276"/>
      <c r="U48" s="276"/>
      <c r="V48" s="276"/>
      <c r="W48" s="277"/>
      <c r="X48" s="278"/>
      <c r="Y48" s="276"/>
      <c r="Z48" s="276"/>
      <c r="AA48" s="276"/>
      <c r="AB48" s="276"/>
      <c r="AC48" s="276"/>
      <c r="AD48" s="279"/>
      <c r="AE48" s="51">
        <f t="shared" si="68"/>
        <v>0</v>
      </c>
      <c r="AF48" s="77">
        <f t="shared" si="19"/>
        <v>0</v>
      </c>
      <c r="AG48" s="106"/>
      <c r="AH48" s="110"/>
      <c r="AI48" s="106"/>
      <c r="AJ48" s="106"/>
      <c r="AK48" s="78">
        <f t="shared" si="74"/>
        <v>0</v>
      </c>
      <c r="AL48" s="53">
        <f t="shared" si="75"/>
        <v>0</v>
      </c>
      <c r="AM48" s="79">
        <f t="shared" si="76"/>
        <v>0</v>
      </c>
      <c r="AN48" s="79">
        <f t="shared" si="76"/>
        <v>0</v>
      </c>
      <c r="AO48" s="79">
        <f t="shared" si="77"/>
        <v>0</v>
      </c>
      <c r="AP48" s="79">
        <f t="shared" si="77"/>
        <v>0</v>
      </c>
      <c r="AQ48" s="79">
        <f t="shared" si="78"/>
        <v>0</v>
      </c>
      <c r="AR48" s="80">
        <f t="shared" si="78"/>
        <v>0</v>
      </c>
      <c r="AS48" s="249" t="s">
        <v>77</v>
      </c>
      <c r="AT48" s="17">
        <f>COUNTIF(C48:AD48,"특*")</f>
        <v>0</v>
      </c>
      <c r="AU48" s="17">
        <f>COUNTIF(C48:AD48,"경가")</f>
        <v>0</v>
      </c>
      <c r="AV48" s="17">
        <f>COUNTIF(C48:AD48,"병*")</f>
        <v>0</v>
      </c>
      <c r="AW48" s="11">
        <f t="shared" si="9"/>
        <v>0</v>
      </c>
      <c r="AX48" s="11">
        <f t="shared" si="10"/>
        <v>0</v>
      </c>
      <c r="AY48" s="11">
        <f t="shared" si="11"/>
        <v>0</v>
      </c>
      <c r="AZ48" s="11">
        <f t="shared" si="12"/>
        <v>0</v>
      </c>
      <c r="BA48" s="11">
        <f t="shared" si="13"/>
        <v>0</v>
      </c>
      <c r="BB48" s="11">
        <f t="shared" si="20"/>
        <v>0</v>
      </c>
      <c r="BC48" s="11">
        <f t="shared" si="63"/>
        <v>0</v>
      </c>
      <c r="BD48" s="11">
        <f t="shared" si="15"/>
        <v>0</v>
      </c>
      <c r="BE48" s="28">
        <f t="shared" si="16"/>
        <v>0</v>
      </c>
      <c r="BF48" s="29">
        <f t="shared" si="17"/>
        <v>0</v>
      </c>
      <c r="BG48" s="11">
        <f t="shared" si="18"/>
        <v>0</v>
      </c>
    </row>
    <row r="49" spans="1:59">
      <c r="A49" s="146"/>
      <c r="B49" s="264"/>
      <c r="C49" s="83"/>
      <c r="D49" s="83"/>
      <c r="E49" s="83"/>
      <c r="F49" s="83"/>
      <c r="G49" s="83"/>
      <c r="H49" s="83"/>
      <c r="I49" s="83"/>
      <c r="J49" s="84"/>
      <c r="K49" s="84"/>
      <c r="L49" s="83"/>
      <c r="M49" s="83"/>
      <c r="N49" s="83"/>
      <c r="O49" s="83"/>
      <c r="P49" s="83"/>
      <c r="Q49" s="85"/>
      <c r="R49" s="83"/>
      <c r="S49" s="83"/>
      <c r="T49" s="83"/>
      <c r="U49" s="83"/>
      <c r="V49" s="83"/>
      <c r="W49" s="83"/>
      <c r="X49" s="83"/>
      <c r="Y49" s="86"/>
      <c r="Z49" s="83"/>
      <c r="AA49" s="83"/>
      <c r="AB49" s="83"/>
      <c r="AC49" s="84"/>
      <c r="AD49" s="83"/>
      <c r="AE49" s="87"/>
      <c r="AF49" s="87"/>
      <c r="AG49" s="111"/>
      <c r="AH49" s="111"/>
      <c r="AI49" s="112"/>
      <c r="AJ49" s="111"/>
      <c r="AK49" s="88"/>
      <c r="AL49" s="91"/>
      <c r="AM49" s="91"/>
      <c r="AN49" s="88"/>
      <c r="AO49" s="88"/>
      <c r="AP49" s="91"/>
      <c r="AQ49" s="91"/>
      <c r="AR49" s="92"/>
      <c r="AS49" s="154"/>
      <c r="AT49" s="88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</row>
    <row r="50" spans="1:59">
      <c r="A50" s="147" t="s">
        <v>20</v>
      </c>
      <c r="B50" s="93"/>
      <c r="C50" s="94">
        <f t="shared" ref="C50:L54" si="79">COUNTIF(C$7:C$45,$A50)</f>
        <v>7</v>
      </c>
      <c r="D50" s="94">
        <f t="shared" si="79"/>
        <v>7</v>
      </c>
      <c r="E50" s="94">
        <f t="shared" si="79"/>
        <v>8</v>
      </c>
      <c r="F50" s="94">
        <f t="shared" si="79"/>
        <v>7</v>
      </c>
      <c r="G50" s="94">
        <f t="shared" si="79"/>
        <v>8</v>
      </c>
      <c r="H50" s="94">
        <f t="shared" si="79"/>
        <v>8</v>
      </c>
      <c r="I50" s="94">
        <f t="shared" si="79"/>
        <v>7</v>
      </c>
      <c r="J50" s="94">
        <f t="shared" si="79"/>
        <v>7</v>
      </c>
      <c r="K50" s="94">
        <f t="shared" si="79"/>
        <v>8</v>
      </c>
      <c r="L50" s="94">
        <f t="shared" si="79"/>
        <v>8</v>
      </c>
      <c r="M50" s="94">
        <f t="shared" ref="M50:V54" si="80">COUNTIF(M$7:M$45,$A50)</f>
        <v>7</v>
      </c>
      <c r="N50" s="94">
        <f t="shared" si="80"/>
        <v>8</v>
      </c>
      <c r="O50" s="94">
        <f t="shared" si="80"/>
        <v>8</v>
      </c>
      <c r="P50" s="94">
        <f t="shared" si="80"/>
        <v>8</v>
      </c>
      <c r="Q50" s="94">
        <f t="shared" si="80"/>
        <v>7</v>
      </c>
      <c r="R50" s="94">
        <f t="shared" si="80"/>
        <v>7</v>
      </c>
      <c r="S50" s="94">
        <f t="shared" si="80"/>
        <v>7</v>
      </c>
      <c r="T50" s="94">
        <f t="shared" si="80"/>
        <v>7</v>
      </c>
      <c r="U50" s="94">
        <f t="shared" si="80"/>
        <v>8</v>
      </c>
      <c r="V50" s="94">
        <f t="shared" si="80"/>
        <v>7</v>
      </c>
      <c r="W50" s="94">
        <f t="shared" ref="W50:AD54" si="81">COUNTIF(W$7:W$45,$A50)</f>
        <v>7</v>
      </c>
      <c r="X50" s="94">
        <f t="shared" si="81"/>
        <v>7</v>
      </c>
      <c r="Y50" s="94">
        <f t="shared" si="81"/>
        <v>7</v>
      </c>
      <c r="Z50" s="94">
        <f t="shared" si="81"/>
        <v>7</v>
      </c>
      <c r="AA50" s="94">
        <f t="shared" si="81"/>
        <v>7</v>
      </c>
      <c r="AB50" s="94">
        <f t="shared" si="81"/>
        <v>7</v>
      </c>
      <c r="AC50" s="94">
        <f t="shared" si="81"/>
        <v>7</v>
      </c>
      <c r="AD50" s="94">
        <f t="shared" si="81"/>
        <v>7</v>
      </c>
      <c r="AE50" s="87"/>
      <c r="AF50" s="87"/>
      <c r="AG50" s="111"/>
      <c r="AH50" s="111"/>
      <c r="AI50" s="112"/>
      <c r="AJ50" s="111"/>
      <c r="AK50" s="88"/>
      <c r="AL50" s="91"/>
      <c r="AM50" s="91"/>
      <c r="AN50" s="88"/>
      <c r="AO50" s="88"/>
      <c r="AP50" s="91"/>
      <c r="AQ50" s="91"/>
      <c r="AR50" s="92"/>
      <c r="AS50" s="154"/>
      <c r="AT50" s="88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</row>
    <row r="51" spans="1:59">
      <c r="A51" s="147" t="s">
        <v>25</v>
      </c>
      <c r="B51" s="93"/>
      <c r="C51" s="94">
        <f t="shared" si="79"/>
        <v>8</v>
      </c>
      <c r="D51" s="94">
        <f t="shared" si="79"/>
        <v>8</v>
      </c>
      <c r="E51" s="94">
        <f t="shared" si="79"/>
        <v>8</v>
      </c>
      <c r="F51" s="94">
        <f t="shared" si="79"/>
        <v>8</v>
      </c>
      <c r="G51" s="94">
        <f t="shared" si="79"/>
        <v>8</v>
      </c>
      <c r="H51" s="94">
        <f t="shared" si="79"/>
        <v>8</v>
      </c>
      <c r="I51" s="94">
        <f t="shared" si="79"/>
        <v>8</v>
      </c>
      <c r="J51" s="94">
        <f t="shared" si="79"/>
        <v>8</v>
      </c>
      <c r="K51" s="94">
        <f t="shared" si="79"/>
        <v>8</v>
      </c>
      <c r="L51" s="94">
        <f t="shared" si="79"/>
        <v>8</v>
      </c>
      <c r="M51" s="94">
        <f t="shared" si="80"/>
        <v>8</v>
      </c>
      <c r="N51" s="94">
        <f t="shared" si="80"/>
        <v>8</v>
      </c>
      <c r="O51" s="94">
        <f t="shared" si="80"/>
        <v>8</v>
      </c>
      <c r="P51" s="94">
        <f t="shared" si="80"/>
        <v>8</v>
      </c>
      <c r="Q51" s="94">
        <f t="shared" si="80"/>
        <v>8</v>
      </c>
      <c r="R51" s="94">
        <f t="shared" si="80"/>
        <v>8</v>
      </c>
      <c r="S51" s="94">
        <f t="shared" si="80"/>
        <v>8</v>
      </c>
      <c r="T51" s="94">
        <f t="shared" si="80"/>
        <v>8</v>
      </c>
      <c r="U51" s="94">
        <f t="shared" si="80"/>
        <v>8</v>
      </c>
      <c r="V51" s="94">
        <f t="shared" si="80"/>
        <v>8</v>
      </c>
      <c r="W51" s="94">
        <f t="shared" si="81"/>
        <v>8</v>
      </c>
      <c r="X51" s="94">
        <f t="shared" si="81"/>
        <v>8</v>
      </c>
      <c r="Y51" s="94">
        <f t="shared" si="81"/>
        <v>8</v>
      </c>
      <c r="Z51" s="94">
        <f t="shared" si="81"/>
        <v>8</v>
      </c>
      <c r="AA51" s="94">
        <f t="shared" si="81"/>
        <v>8</v>
      </c>
      <c r="AB51" s="94">
        <f t="shared" si="81"/>
        <v>8</v>
      </c>
      <c r="AC51" s="94">
        <f t="shared" si="81"/>
        <v>8</v>
      </c>
      <c r="AD51" s="94">
        <f t="shared" si="81"/>
        <v>8</v>
      </c>
      <c r="AE51" s="87"/>
      <c r="AF51" s="87"/>
      <c r="AG51" s="111"/>
      <c r="AH51" s="111"/>
      <c r="AI51" s="112"/>
      <c r="AJ51" s="111"/>
      <c r="AK51" s="88"/>
      <c r="AL51" s="91"/>
      <c r="AM51" s="91"/>
      <c r="AN51" s="88"/>
      <c r="AO51" s="88"/>
      <c r="AP51" s="91"/>
      <c r="AQ51" s="91"/>
      <c r="AR51" s="92"/>
      <c r="AS51" s="154"/>
      <c r="AT51" s="88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</row>
    <row r="52" spans="1:59">
      <c r="A52" s="147" t="s">
        <v>6</v>
      </c>
      <c r="B52" s="93"/>
      <c r="C52" s="94">
        <f t="shared" si="79"/>
        <v>7</v>
      </c>
      <c r="D52" s="94">
        <f t="shared" si="79"/>
        <v>7</v>
      </c>
      <c r="E52" s="94">
        <f t="shared" si="79"/>
        <v>7</v>
      </c>
      <c r="F52" s="94">
        <f t="shared" si="79"/>
        <v>7</v>
      </c>
      <c r="G52" s="94">
        <f t="shared" si="79"/>
        <v>7</v>
      </c>
      <c r="H52" s="94">
        <f t="shared" si="79"/>
        <v>7</v>
      </c>
      <c r="I52" s="94">
        <f t="shared" si="79"/>
        <v>7</v>
      </c>
      <c r="J52" s="94">
        <f t="shared" si="79"/>
        <v>7</v>
      </c>
      <c r="K52" s="94">
        <f t="shared" si="79"/>
        <v>7</v>
      </c>
      <c r="L52" s="94">
        <f t="shared" si="79"/>
        <v>7</v>
      </c>
      <c r="M52" s="94">
        <f t="shared" si="80"/>
        <v>7</v>
      </c>
      <c r="N52" s="94">
        <f t="shared" si="80"/>
        <v>7</v>
      </c>
      <c r="O52" s="94">
        <f t="shared" si="80"/>
        <v>7</v>
      </c>
      <c r="P52" s="94">
        <f t="shared" si="80"/>
        <v>7</v>
      </c>
      <c r="Q52" s="94">
        <f t="shared" si="80"/>
        <v>7</v>
      </c>
      <c r="R52" s="94">
        <f t="shared" si="80"/>
        <v>7</v>
      </c>
      <c r="S52" s="94">
        <f t="shared" si="80"/>
        <v>7</v>
      </c>
      <c r="T52" s="94">
        <f t="shared" si="80"/>
        <v>7</v>
      </c>
      <c r="U52" s="94">
        <f t="shared" si="80"/>
        <v>7</v>
      </c>
      <c r="V52" s="94">
        <f t="shared" si="80"/>
        <v>7</v>
      </c>
      <c r="W52" s="94">
        <f t="shared" si="81"/>
        <v>7</v>
      </c>
      <c r="X52" s="94">
        <f t="shared" si="81"/>
        <v>7</v>
      </c>
      <c r="Y52" s="94">
        <f t="shared" si="81"/>
        <v>7</v>
      </c>
      <c r="Z52" s="94">
        <f t="shared" si="81"/>
        <v>7</v>
      </c>
      <c r="AA52" s="94">
        <f t="shared" si="81"/>
        <v>7</v>
      </c>
      <c r="AB52" s="94">
        <f t="shared" si="81"/>
        <v>7</v>
      </c>
      <c r="AC52" s="94">
        <f t="shared" si="81"/>
        <v>7</v>
      </c>
      <c r="AD52" s="94">
        <f t="shared" si="81"/>
        <v>7</v>
      </c>
      <c r="AE52" s="87"/>
      <c r="AF52" s="87"/>
      <c r="AG52" s="111"/>
      <c r="AH52" s="111"/>
      <c r="AI52" s="112"/>
      <c r="AJ52" s="111"/>
      <c r="AK52" s="88"/>
      <c r="AL52" s="91"/>
      <c r="AM52" s="91"/>
      <c r="AN52" s="88"/>
      <c r="AO52" s="88"/>
      <c r="AP52" s="91"/>
      <c r="AQ52" s="91"/>
      <c r="AR52" s="92"/>
      <c r="AS52" s="154"/>
      <c r="AT52" s="88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</row>
    <row r="53" spans="1:59">
      <c r="A53" s="147" t="s">
        <v>53</v>
      </c>
      <c r="B53" s="93"/>
      <c r="C53" s="94">
        <f t="shared" si="79"/>
        <v>0</v>
      </c>
      <c r="D53" s="94">
        <f t="shared" si="79"/>
        <v>0</v>
      </c>
      <c r="E53" s="94">
        <f t="shared" si="79"/>
        <v>0</v>
      </c>
      <c r="F53" s="94">
        <f t="shared" si="79"/>
        <v>0</v>
      </c>
      <c r="G53" s="94">
        <f t="shared" si="79"/>
        <v>0</v>
      </c>
      <c r="H53" s="94">
        <f t="shared" si="79"/>
        <v>0</v>
      </c>
      <c r="I53" s="94">
        <f t="shared" si="79"/>
        <v>0</v>
      </c>
      <c r="J53" s="94">
        <f t="shared" si="79"/>
        <v>0</v>
      </c>
      <c r="K53" s="94">
        <f t="shared" si="79"/>
        <v>0</v>
      </c>
      <c r="L53" s="94">
        <f t="shared" si="79"/>
        <v>0</v>
      </c>
      <c r="M53" s="94">
        <f t="shared" si="80"/>
        <v>0</v>
      </c>
      <c r="N53" s="94">
        <f t="shared" si="80"/>
        <v>0</v>
      </c>
      <c r="O53" s="94">
        <f t="shared" si="80"/>
        <v>0</v>
      </c>
      <c r="P53" s="94">
        <f t="shared" si="80"/>
        <v>0</v>
      </c>
      <c r="Q53" s="94">
        <f t="shared" si="80"/>
        <v>0</v>
      </c>
      <c r="R53" s="94">
        <f t="shared" si="80"/>
        <v>0</v>
      </c>
      <c r="S53" s="94">
        <f t="shared" si="80"/>
        <v>0</v>
      </c>
      <c r="T53" s="94">
        <f t="shared" si="80"/>
        <v>0</v>
      </c>
      <c r="U53" s="94">
        <f t="shared" si="80"/>
        <v>0</v>
      </c>
      <c r="V53" s="94">
        <f t="shared" si="80"/>
        <v>0</v>
      </c>
      <c r="W53" s="94">
        <f t="shared" si="81"/>
        <v>0</v>
      </c>
      <c r="X53" s="94">
        <f t="shared" si="81"/>
        <v>0</v>
      </c>
      <c r="Y53" s="94">
        <f t="shared" si="81"/>
        <v>0</v>
      </c>
      <c r="Z53" s="94">
        <f t="shared" si="81"/>
        <v>0</v>
      </c>
      <c r="AA53" s="94">
        <f t="shared" si="81"/>
        <v>0</v>
      </c>
      <c r="AB53" s="94">
        <f t="shared" si="81"/>
        <v>0</v>
      </c>
      <c r="AC53" s="94">
        <f t="shared" si="81"/>
        <v>0</v>
      </c>
      <c r="AD53" s="94">
        <f t="shared" si="81"/>
        <v>0</v>
      </c>
      <c r="AE53" s="87"/>
      <c r="AF53" s="87"/>
      <c r="AG53" s="88"/>
      <c r="AH53" s="88"/>
      <c r="AI53" s="89"/>
      <c r="AJ53" s="88"/>
      <c r="AK53" s="88"/>
      <c r="AL53" s="91"/>
      <c r="AM53" s="91"/>
      <c r="AN53" s="88"/>
      <c r="AO53" s="88"/>
      <c r="AP53" s="91"/>
      <c r="AQ53" s="91"/>
      <c r="AR53" s="92"/>
      <c r="AS53" s="154"/>
      <c r="AT53" s="88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</row>
    <row r="54" spans="1:59">
      <c r="A54" s="147" t="s">
        <v>54</v>
      </c>
      <c r="B54" s="93"/>
      <c r="C54" s="94">
        <f t="shared" si="79"/>
        <v>0</v>
      </c>
      <c r="D54" s="94">
        <f t="shared" si="79"/>
        <v>2</v>
      </c>
      <c r="E54" s="94">
        <f t="shared" si="79"/>
        <v>0</v>
      </c>
      <c r="F54" s="94">
        <f t="shared" si="79"/>
        <v>0</v>
      </c>
      <c r="G54" s="94">
        <f t="shared" si="79"/>
        <v>0</v>
      </c>
      <c r="H54" s="94">
        <f t="shared" si="79"/>
        <v>0</v>
      </c>
      <c r="I54" s="94">
        <f t="shared" si="79"/>
        <v>0</v>
      </c>
      <c r="J54" s="94">
        <f t="shared" si="79"/>
        <v>0</v>
      </c>
      <c r="K54" s="94">
        <f t="shared" si="79"/>
        <v>0</v>
      </c>
      <c r="L54" s="94">
        <f t="shared" si="79"/>
        <v>0</v>
      </c>
      <c r="M54" s="94">
        <f t="shared" si="80"/>
        <v>0</v>
      </c>
      <c r="N54" s="94">
        <f t="shared" si="80"/>
        <v>0</v>
      </c>
      <c r="O54" s="94">
        <f t="shared" si="80"/>
        <v>1</v>
      </c>
      <c r="P54" s="94">
        <f t="shared" si="80"/>
        <v>0</v>
      </c>
      <c r="Q54" s="94">
        <f t="shared" si="80"/>
        <v>0</v>
      </c>
      <c r="R54" s="94">
        <f t="shared" si="80"/>
        <v>0</v>
      </c>
      <c r="S54" s="94">
        <f t="shared" si="80"/>
        <v>0</v>
      </c>
      <c r="T54" s="94">
        <f t="shared" si="80"/>
        <v>0</v>
      </c>
      <c r="U54" s="94">
        <f t="shared" si="80"/>
        <v>0</v>
      </c>
      <c r="V54" s="94">
        <f t="shared" si="80"/>
        <v>1</v>
      </c>
      <c r="W54" s="94">
        <f t="shared" si="81"/>
        <v>0</v>
      </c>
      <c r="X54" s="94">
        <f t="shared" si="81"/>
        <v>0</v>
      </c>
      <c r="Y54" s="94">
        <f t="shared" si="81"/>
        <v>0</v>
      </c>
      <c r="Z54" s="94">
        <f t="shared" si="81"/>
        <v>0</v>
      </c>
      <c r="AA54" s="94">
        <f t="shared" si="81"/>
        <v>0</v>
      </c>
      <c r="AB54" s="94">
        <f t="shared" si="81"/>
        <v>1</v>
      </c>
      <c r="AC54" s="94">
        <f t="shared" si="81"/>
        <v>0</v>
      </c>
      <c r="AD54" s="94">
        <f t="shared" si="81"/>
        <v>0</v>
      </c>
      <c r="AE54" s="87"/>
      <c r="AF54" s="87"/>
      <c r="AG54" s="88"/>
      <c r="AH54" s="88"/>
      <c r="AI54" s="89"/>
      <c r="AJ54" s="88"/>
      <c r="AK54" s="88"/>
      <c r="AL54" s="91"/>
      <c r="AM54" s="91"/>
      <c r="AN54" s="88"/>
      <c r="AO54" s="88"/>
      <c r="AP54" s="91"/>
      <c r="AQ54" s="91"/>
      <c r="AR54" s="92"/>
      <c r="AS54" s="154"/>
      <c r="AT54" s="88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</row>
  </sheetData>
  <mergeCells count="3">
    <mergeCell ref="J3:U3"/>
    <mergeCell ref="AI4:AJ5"/>
    <mergeCell ref="A1:AD2"/>
  </mergeCells>
  <phoneticPr fontId="1" type="noConversion"/>
  <conditionalFormatting sqref="AF1:BG6 AF7:AR16 AT8:BA16 AT18:BA27 AT31:AW35 AY31:BA35 BD31:BG35 BD8:BG16 AF31:AR48 AX31:AX48 BB8:BB27 AT44:AW48 AY44:BA48 BD44:BG48 BB29:BB48 BC29:BG29 AT29:BA29 AT28:BB28 AF18:AR29 BD18:BG28 BC7:BC28 BC30:BC48">
    <cfRule type="containsText" dxfId="192" priority="175" operator="containsText" text="보수">
      <formula>NOT(ISERROR(SEARCH("보수",AF1)))</formula>
    </cfRule>
  </conditionalFormatting>
  <conditionalFormatting sqref="AT39:AW43 AY39:BA43 AT7:BB7 BD39:BG43 BD7:BG7">
    <cfRule type="containsText" dxfId="191" priority="78" operator="containsText" text="보수">
      <formula>NOT(ISERROR(SEARCH("보수",AT7)))</formula>
    </cfRule>
  </conditionalFormatting>
  <conditionalFormatting sqref="AF7:AH16 AF31:AH35 AF39:AH48 AF18:AH29">
    <cfRule type="cellIs" dxfId="190" priority="99" operator="greaterThan">
      <formula>6</formula>
    </cfRule>
  </conditionalFormatting>
  <conditionalFormatting sqref="AF19">
    <cfRule type="containsText" dxfId="189" priority="77" operator="containsText" text="D">
      <formula>NOT(ISERROR(SEARCH("D",AF19)))</formula>
    </cfRule>
  </conditionalFormatting>
  <conditionalFormatting sqref="AF7:AG7">
    <cfRule type="containsText" dxfId="188" priority="101" operator="containsText" text="E">
      <formula>NOT(ISERROR(SEARCH("E",AF7)))</formula>
    </cfRule>
  </conditionalFormatting>
  <conditionalFormatting sqref="AJ3">
    <cfRule type="cellIs" dxfId="187" priority="103" operator="greaterThan">
      <formula>5</formula>
    </cfRule>
  </conditionalFormatting>
  <conditionalFormatting sqref="AK23:AK27 AK7:AR16 AK18:AR21 AL31:AL35 AL22:AR27 AL39:AL48 AL29 AK28:AR28">
    <cfRule type="expression" dxfId="186" priority="104">
      <formula>EU7=0</formula>
    </cfRule>
  </conditionalFormatting>
  <conditionalFormatting sqref="AL32:AN35 AK7:AR16 AX7:AX16 AK31:AR31 AX31:AX48 AL39:AN48 AX18:AX29 AK18:AR29">
    <cfRule type="containsText" dxfId="185" priority="102" operator="containsText" text="0">
      <formula>NOT(ISERROR(SEARCH("0",AK7)))</formula>
    </cfRule>
  </conditionalFormatting>
  <conditionalFormatting sqref="AK7:AR16 AK31:AR35 AK39:AR48 AK18:AR29">
    <cfRule type="cellIs" dxfId="184" priority="82" operator="greaterThan">
      <formula>1</formula>
    </cfRule>
  </conditionalFormatting>
  <conditionalFormatting sqref="AK7:AR16 AK31:AR35 AK39:AR48 AK18:AR29">
    <cfRule type="cellIs" dxfId="183" priority="81" operator="lessThan">
      <formula>1</formula>
    </cfRule>
  </conditionalFormatting>
  <conditionalFormatting sqref="AK22">
    <cfRule type="expression" dxfId="182" priority="100">
      <formula>EU22=0</formula>
    </cfRule>
  </conditionalFormatting>
  <conditionalFormatting sqref="AK31:AK34 AM31:AR34">
    <cfRule type="expression" dxfId="181" priority="96">
      <formula>EU32=0</formula>
    </cfRule>
  </conditionalFormatting>
  <conditionalFormatting sqref="AL49:AM54">
    <cfRule type="cellIs" dxfId="180" priority="83" operator="greaterThan">
      <formula>6</formula>
    </cfRule>
  </conditionalFormatting>
  <conditionalFormatting sqref="AN31:AN32">
    <cfRule type="expression" dxfId="179" priority="98">
      <formula>EX32=0</formula>
    </cfRule>
  </conditionalFormatting>
  <conditionalFormatting sqref="AZ7:AZ16 BD7:BD16 AZ31:AZ35 BD31:BD35 BD39:BD48 AZ39:AZ48 BD18:BD29 AZ18:AZ29">
    <cfRule type="cellIs" dxfId="178" priority="94" operator="lessThan">
      <formula>4</formula>
    </cfRule>
  </conditionalFormatting>
  <conditionalFormatting sqref="AF7:AF16 AF31:AF35 AF39:AF48 AF18:AF29">
    <cfRule type="cellIs" dxfId="177" priority="76" operator="lessThan">
      <formula>6</formula>
    </cfRule>
  </conditionalFormatting>
  <conditionalFormatting sqref="AK35 AM35:AR35 AM39:AR43 AK39:AK43">
    <cfRule type="expression" dxfId="176" priority="105">
      <formula>#REF!=0</formula>
    </cfRule>
  </conditionalFormatting>
  <conditionalFormatting sqref="AT36:AW38 AY36:BA38 BD36:BG38">
    <cfRule type="containsText" dxfId="175" priority="64" operator="containsText" text="보수">
      <formula>NOT(ISERROR(SEARCH("보수",AT36)))</formula>
    </cfRule>
  </conditionalFormatting>
  <conditionalFormatting sqref="AF36:AH38">
    <cfRule type="cellIs" dxfId="174" priority="72" operator="greaterThan">
      <formula>6</formula>
    </cfRule>
  </conditionalFormatting>
  <conditionalFormatting sqref="AL36:AL38">
    <cfRule type="expression" dxfId="173" priority="74">
      <formula>EV36=0</formula>
    </cfRule>
  </conditionalFormatting>
  <conditionalFormatting sqref="AL36:AN38">
    <cfRule type="containsText" dxfId="172" priority="73" operator="containsText" text="0">
      <formula>NOT(ISERROR(SEARCH("0",AL36)))</formula>
    </cfRule>
  </conditionalFormatting>
  <conditionalFormatting sqref="AK36:AR38">
    <cfRule type="cellIs" dxfId="171" priority="68" operator="greaterThan">
      <formula>1</formula>
    </cfRule>
  </conditionalFormatting>
  <conditionalFormatting sqref="AK36:AR38">
    <cfRule type="cellIs" dxfId="170" priority="67" operator="lessThan">
      <formula>1</formula>
    </cfRule>
  </conditionalFormatting>
  <conditionalFormatting sqref="AZ36:AZ38 BD36:BD38">
    <cfRule type="cellIs" dxfId="169" priority="69" operator="lessThan">
      <formula>4</formula>
    </cfRule>
  </conditionalFormatting>
  <conditionalFormatting sqref="AF36:AF38">
    <cfRule type="cellIs" dxfId="168" priority="63" operator="lessThan">
      <formula>6</formula>
    </cfRule>
  </conditionalFormatting>
  <conditionalFormatting sqref="AK36:AK38 AM36:AR38 AM44:AR48 AK44:AK48">
    <cfRule type="expression" dxfId="167" priority="75">
      <formula>#REF!=0</formula>
    </cfRule>
  </conditionalFormatting>
  <conditionalFormatting sqref="C49:AD49">
    <cfRule type="containsText" dxfId="166" priority="41" operator="containsText" text="중">
      <formula>NOT(ISERROR(SEARCH("중",C49)))</formula>
    </cfRule>
  </conditionalFormatting>
  <conditionalFormatting sqref="AF17:AR17 AT17:BA17 BD17:BG17">
    <cfRule type="containsText" dxfId="165" priority="37" operator="containsText" text="보수">
      <formula>NOT(ISERROR(SEARCH("보수",AF17)))</formula>
    </cfRule>
  </conditionalFormatting>
  <conditionalFormatting sqref="AF17:AH17">
    <cfRule type="cellIs" dxfId="164" priority="34" operator="greaterThan">
      <formula>6</formula>
    </cfRule>
  </conditionalFormatting>
  <conditionalFormatting sqref="AK17:AR17">
    <cfRule type="expression" dxfId="163" priority="36">
      <formula>EU17=0</formula>
    </cfRule>
  </conditionalFormatting>
  <conditionalFormatting sqref="AK17:AR17 AX17">
    <cfRule type="containsText" dxfId="162" priority="35" operator="containsText" text="0">
      <formula>NOT(ISERROR(SEARCH("0",AK17)))</formula>
    </cfRule>
  </conditionalFormatting>
  <conditionalFormatting sqref="AK17:AR17">
    <cfRule type="cellIs" dxfId="161" priority="32" operator="greaterThan">
      <formula>1</formula>
    </cfRule>
  </conditionalFormatting>
  <conditionalFormatting sqref="AK17:AR17">
    <cfRule type="cellIs" dxfId="160" priority="31" operator="lessThan">
      <formula>1</formula>
    </cfRule>
  </conditionalFormatting>
  <conditionalFormatting sqref="AZ17 BD17">
    <cfRule type="cellIs" dxfId="159" priority="33" operator="lessThan">
      <formula>4</formula>
    </cfRule>
  </conditionalFormatting>
  <conditionalFormatting sqref="AF17">
    <cfRule type="cellIs" dxfId="158" priority="28" operator="lessThan">
      <formula>6</formula>
    </cfRule>
  </conditionalFormatting>
  <conditionalFormatting sqref="J3:U3">
    <cfRule type="containsText" dxfId="157" priority="26" operator="containsText" text="보수">
      <formula>NOT(ISERROR(SEARCH("보수",J3)))</formula>
    </cfRule>
  </conditionalFormatting>
  <conditionalFormatting sqref="C50:AD54">
    <cfRule type="cellIs" dxfId="156" priority="24" operator="lessThan">
      <formula>6</formula>
    </cfRule>
    <cfRule type="cellIs" dxfId="155" priority="25" operator="greaterThan">
      <formula>6</formula>
    </cfRule>
  </conditionalFormatting>
  <conditionalFormatting sqref="AK29 AM29:AR30">
    <cfRule type="expression" dxfId="154" priority="176">
      <formula>EU31=0</formula>
    </cfRule>
  </conditionalFormatting>
  <conditionalFormatting sqref="AT30:BA30 AF30:AR30 BD30:BG30">
    <cfRule type="containsText" dxfId="153" priority="21" operator="containsText" text="보수">
      <formula>NOT(ISERROR(SEARCH("보수",AF30)))</formula>
    </cfRule>
  </conditionalFormatting>
  <conditionalFormatting sqref="AF30:AH30">
    <cfRule type="cellIs" dxfId="152" priority="18" operator="greaterThan">
      <formula>6</formula>
    </cfRule>
  </conditionalFormatting>
  <conditionalFormatting sqref="AL30">
    <cfRule type="expression" dxfId="151" priority="20">
      <formula>EV30=0</formula>
    </cfRule>
  </conditionalFormatting>
  <conditionalFormatting sqref="AX30 AK30:AR30">
    <cfRule type="containsText" dxfId="150" priority="19" operator="containsText" text="0">
      <formula>NOT(ISERROR(SEARCH("0",AK30)))</formula>
    </cfRule>
  </conditionalFormatting>
  <conditionalFormatting sqref="AK30:AR30">
    <cfRule type="cellIs" dxfId="149" priority="16" operator="greaterThan">
      <formula>1</formula>
    </cfRule>
  </conditionalFormatting>
  <conditionalFormatting sqref="AK30:AR30">
    <cfRule type="cellIs" dxfId="148" priority="15" operator="lessThan">
      <formula>1</formula>
    </cfRule>
  </conditionalFormatting>
  <conditionalFormatting sqref="BD30 AZ30">
    <cfRule type="cellIs" dxfId="147" priority="17" operator="lessThan">
      <formula>4</formula>
    </cfRule>
  </conditionalFormatting>
  <conditionalFormatting sqref="AF30">
    <cfRule type="cellIs" dxfId="146" priority="12" operator="lessThan">
      <formula>6</formula>
    </cfRule>
  </conditionalFormatting>
  <conditionalFormatting sqref="AK30">
    <cfRule type="expression" dxfId="145" priority="22">
      <formula>EU32=0</formula>
    </cfRule>
  </conditionalFormatting>
  <conditionalFormatting sqref="C4:AD4">
    <cfRule type="containsText" dxfId="144" priority="8" operator="containsText" text="보수">
      <formula>NOT(ISERROR(SEARCH("보수",C4)))</formula>
    </cfRule>
  </conditionalFormatting>
  <conditionalFormatting sqref="A16:A25">
    <cfRule type="containsText" dxfId="143" priority="5" operator="containsText" text="보수">
      <formula>NOT(ISERROR(SEARCH("보수",A16)))</formula>
    </cfRule>
  </conditionalFormatting>
  <conditionalFormatting sqref="AS16:AS25">
    <cfRule type="containsText" dxfId="142" priority="3" operator="containsText" text="보수">
      <formula>NOT(ISERROR(SEARCH("보수",AS16)))</formula>
    </cfRule>
  </conditionalFormatting>
  <conditionalFormatting sqref="AE7:AE48">
    <cfRule type="cellIs" dxfId="141" priority="2" operator="greaterThan">
      <formula>11</formula>
    </cfRule>
    <cfRule type="cellIs" dxfId="140" priority="1" operator="lessThan">
      <formula>11</formula>
    </cfRule>
  </conditionalFormatting>
  <dataValidations count="25">
    <dataValidation type="list" allowBlank="1" showInputMessage="1" showErrorMessage="1" sqref="V13 N7 P7 C8 AB25 H21 K21 Y16 F26 I16 O10 V10 X22 M22 Z24 C30">
      <formula1>"N"</formula1>
    </dataValidation>
    <dataValidation type="list" allowBlank="1" showInputMessage="1" showErrorMessage="1" sqref="L22 R13:R14 R18 W9 M19 I11 L26 Z21 F25 P12:Q12 X20 AC7 Z16 H15 W33 C40 Z30 D31 T36 X29">
      <formula1>"생휴"</formula1>
    </dataValidation>
    <dataValidation type="list" allowBlank="1" showInputMessage="1" showErrorMessage="1" sqref="Z7 L7 G11 P13 AA8:AB8 G7 H10 M8:N8 Q8 I12 N12 I7 AD35 X27 V33 L35 L42 N36 D32:D33 M29">
      <formula1>"D"</formula1>
    </dataValidation>
    <dataValidation type="list" allowBlank="1" showInputMessage="1" showErrorMessage="1" sqref="G16:H16 AB7 AA22:AB22 C22:C24 U24 Q18 K15 AB11 Q7 J23 M20 O7 Z25 AD23 J12 L19 AD19 H11 K11 W19:W20 G8 I10:J10 C26 K26 Q26 AD17 AC8 Y27 Y21 E25 I21 Q13 G12 R8 T11:U11 AC16 AA16 L30 Y30 C31 I41 Q29">
      <formula1>"OFF"</formula1>
    </dataValidation>
    <dataValidation type="list" allowBlank="1" showInputMessage="1" showErrorMessage="1" sqref="AB19">
      <formula1>"N 제외, D, E"</formula1>
    </dataValidation>
    <dataValidation type="list" allowBlank="1" showInputMessage="1" showErrorMessage="1" sqref="P24">
      <formula1>"D제외, E, N"</formula1>
    </dataValidation>
    <dataValidation type="list" allowBlank="1" showInputMessage="1" showErrorMessage="1" sqref="M7 X25 G15 P9 S7 AB27 G25 Y24 X30 AD39">
      <formula1>"E"</formula1>
    </dataValidation>
    <dataValidation type="list" allowBlank="1" showInputMessage="1" showErrorMessage="1" sqref="F18:G18 AA18 T18:U18 G20 N20 AA20:AB20 T20:U20 M18">
      <formula1>"D제외,E,N"</formula1>
    </dataValidation>
    <dataValidation type="list" allowBlank="1" showInputMessage="1" showErrorMessage="1" sqref="I23">
      <formula1>"특휴"</formula1>
    </dataValidation>
    <dataValidation type="list" allowBlank="1" showInputMessage="1" showErrorMessage="1" sqref="AD7">
      <formula1>"D,VAC"</formula1>
    </dataValidation>
    <dataValidation type="list" allowBlank="1" showInputMessage="1" showErrorMessage="1" sqref="P37">
      <formula1>"VAC,OFF"</formula1>
    </dataValidation>
    <dataValidation type="list" allowBlank="1" showInputMessage="1" showErrorMessage="1" sqref="J30">
      <formula1>"특휴,VAC"</formula1>
    </dataValidation>
    <dataValidation type="list" allowBlank="1" showInputMessage="1" showErrorMessage="1" sqref="AC13 X19 U19 J21 J15 N18 V9 O29 X21 V7 AB18 E41 AC36">
      <formula1>"VAC"</formula1>
    </dataValidation>
    <dataValidation type="list" allowBlank="1" showInputMessage="1" showErrorMessage="1" sqref="AD34">
      <formula1>"경가"</formula1>
    </dataValidation>
    <dataValidation type="list" allowBlank="1" showInputMessage="1" showErrorMessage="1" sqref="P14">
      <formula1>"N제외,D,E, off"</formula1>
    </dataValidation>
    <dataValidation type="list" allowBlank="1" showInputMessage="1" showErrorMessage="1" sqref="P29">
      <formula1>"12월 수면"</formula1>
    </dataValidation>
    <dataValidation type="list" allowBlank="1" showInputMessage="1" showErrorMessage="1" sqref="H26">
      <formula1>"수면(12월)"</formula1>
    </dataValidation>
    <dataValidation type="list" allowBlank="1" showInputMessage="1" showErrorMessage="1" sqref="C12 Z22 S14 AA25 AA27 I34">
      <formula1>"수면12"</formula1>
    </dataValidation>
    <dataValidation type="list" allowBlank="1" showInputMessage="1" showErrorMessage="1" sqref="O8">
      <formula1>"번표"</formula1>
    </dataValidation>
    <dataValidation type="list" allowBlank="1" showInputMessage="1" showErrorMessage="1" sqref="AC23">
      <formula1>"수면(11&amp;12)"</formula1>
    </dataValidation>
    <dataValidation type="list" allowBlank="1" showInputMessage="1" showErrorMessage="1" sqref="K19 V20">
      <formula1>"N제외, D, E"</formula1>
    </dataValidation>
    <dataValidation type="list" allowBlank="1" showInputMessage="1" showErrorMessage="1" sqref="D19 N19 Y19">
      <formula1>"D 제외, E, N"</formula1>
    </dataValidation>
    <dataValidation type="list" allowBlank="1" showInputMessage="1" showErrorMessage="1" sqref="Q14 X9 O9 F7 Y33">
      <formula1>"off"</formula1>
    </dataValidation>
    <dataValidation type="list" allowBlank="1" showInputMessage="1" showErrorMessage="1" sqref="D8 T8 X33">
      <formula1>"휴가"</formula1>
    </dataValidation>
    <dataValidation type="list" allowBlank="1" showInputMessage="1" showErrorMessage="1" sqref="F20">
      <formula1>"수면(!2월)"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G54"/>
  <sheetViews>
    <sheetView zoomScale="85" zoomScaleNormal="85" workbookViewId="0">
      <selection activeCell="AE45" sqref="AE45"/>
    </sheetView>
  </sheetViews>
  <sheetFormatPr defaultRowHeight="16.5"/>
  <cols>
    <col min="1" max="1" width="7" style="148" customWidth="1"/>
    <col min="2" max="2" width="6.375" customWidth="1"/>
    <col min="3" max="30" width="4.75" style="95" customWidth="1"/>
    <col min="31" max="32" width="2.875" style="1" customWidth="1"/>
    <col min="33" max="33" width="2.5" style="1" customWidth="1"/>
    <col min="34" max="36" width="2.625" style="1" customWidth="1"/>
    <col min="37" max="44" width="3.25" style="1" customWidth="1"/>
    <col min="45" max="45" width="6.375" style="149" customWidth="1"/>
    <col min="46" max="59" width="4" style="1" customWidth="1"/>
  </cols>
  <sheetData>
    <row r="1" spans="1:59" ht="16.5" customHeight="1">
      <c r="A1" s="401"/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  <c r="Y1" s="402"/>
      <c r="Z1" s="402"/>
      <c r="AA1" s="402"/>
      <c r="AB1" s="402"/>
      <c r="AC1" s="402"/>
      <c r="AD1" s="402"/>
    </row>
    <row r="2" spans="1:59" ht="63.75" customHeight="1" thickBot="1">
      <c r="A2" s="402"/>
      <c r="B2" s="402"/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402"/>
      <c r="O2" s="402"/>
      <c r="P2" s="402"/>
      <c r="Q2" s="402"/>
      <c r="R2" s="402"/>
      <c r="S2" s="402"/>
      <c r="T2" s="402"/>
      <c r="U2" s="402"/>
      <c r="V2" s="402"/>
      <c r="W2" s="402"/>
      <c r="X2" s="402"/>
      <c r="Y2" s="402"/>
      <c r="Z2" s="402"/>
      <c r="AA2" s="402"/>
      <c r="AB2" s="402"/>
      <c r="AC2" s="402"/>
      <c r="AD2" s="402"/>
    </row>
    <row r="3" spans="1:59" ht="21" thickBot="1">
      <c r="A3" s="138" t="s">
        <v>0</v>
      </c>
      <c r="B3" s="2"/>
      <c r="C3" s="3"/>
      <c r="D3" s="3"/>
      <c r="E3" s="223"/>
      <c r="F3" s="223"/>
      <c r="G3" s="3"/>
      <c r="H3" s="3"/>
      <c r="I3" s="3"/>
      <c r="J3" s="397" t="str">
        <f>'변경(260104_260131)'!J3:U3</f>
        <v>2026.01.04._26.01.31.</v>
      </c>
      <c r="K3" s="397"/>
      <c r="L3" s="397"/>
      <c r="M3" s="397"/>
      <c r="N3" s="397"/>
      <c r="O3" s="397"/>
      <c r="P3" s="397"/>
      <c r="Q3" s="397"/>
      <c r="R3" s="397"/>
      <c r="S3" s="397"/>
      <c r="T3" s="397"/>
      <c r="U3" s="397"/>
      <c r="V3" s="5"/>
      <c r="W3" s="6"/>
      <c r="X3" s="6"/>
      <c r="Y3" s="6"/>
      <c r="Z3" s="6"/>
      <c r="AA3" s="6"/>
      <c r="AB3" s="7" t="s">
        <v>1</v>
      </c>
      <c r="AC3" s="7"/>
      <c r="AD3" s="7"/>
      <c r="AE3" s="8"/>
      <c r="AF3" s="8"/>
      <c r="AG3" s="96"/>
      <c r="AH3" s="97"/>
      <c r="AI3" s="98"/>
      <c r="AJ3" s="99"/>
      <c r="AK3" s="9"/>
      <c r="AL3" s="9"/>
      <c r="AM3" s="10"/>
      <c r="AN3" s="11"/>
      <c r="AO3" s="12"/>
      <c r="AP3" s="12"/>
      <c r="AQ3" s="12"/>
      <c r="AR3" s="12"/>
      <c r="AS3" s="150" t="s">
        <v>2</v>
      </c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</row>
    <row r="4" spans="1:59" ht="18" thickBot="1">
      <c r="A4" s="139"/>
      <c r="B4" s="13"/>
      <c r="C4" s="349"/>
      <c r="D4" s="350"/>
      <c r="E4" s="351"/>
      <c r="F4" s="351"/>
      <c r="G4" s="352"/>
      <c r="H4" s="353"/>
      <c r="I4" s="354"/>
      <c r="J4" s="355"/>
      <c r="K4" s="356"/>
      <c r="L4" s="352"/>
      <c r="M4" s="353"/>
      <c r="N4" s="357"/>
      <c r="O4" s="353"/>
      <c r="P4" s="358"/>
      <c r="Q4" s="349"/>
      <c r="R4" s="359"/>
      <c r="S4" s="350"/>
      <c r="T4" s="360"/>
      <c r="U4" s="361"/>
      <c r="V4" s="350"/>
      <c r="W4" s="362"/>
      <c r="X4" s="363"/>
      <c r="Y4" s="353"/>
      <c r="Z4" s="356"/>
      <c r="AA4" s="350"/>
      <c r="AB4" s="364"/>
      <c r="AC4" s="364"/>
      <c r="AD4" s="365"/>
      <c r="AE4" s="113"/>
      <c r="AF4" s="114"/>
      <c r="AG4" s="100"/>
      <c r="AH4" s="100"/>
      <c r="AI4" s="398"/>
      <c r="AJ4" s="398"/>
      <c r="AK4" s="14"/>
      <c r="AL4" s="14"/>
      <c r="AM4" s="14"/>
      <c r="AN4" s="15"/>
      <c r="AO4" s="14"/>
      <c r="AP4" s="14"/>
      <c r="AQ4" s="14"/>
      <c r="AR4" s="14"/>
      <c r="AS4" s="151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</row>
    <row r="5" spans="1:59">
      <c r="A5" s="140"/>
      <c r="B5" s="280"/>
      <c r="C5" s="366">
        <f>'변경(260104_260131)'!C5</f>
        <v>4</v>
      </c>
      <c r="D5" s="370">
        <f>'변경(260104_260131)'!D5</f>
        <v>5</v>
      </c>
      <c r="E5" s="370">
        <f>'변경(260104_260131)'!E5</f>
        <v>6</v>
      </c>
      <c r="F5" s="370">
        <f>'변경(260104_260131)'!F5</f>
        <v>7</v>
      </c>
      <c r="G5" s="370">
        <f>'변경(260104_260131)'!G5</f>
        <v>8</v>
      </c>
      <c r="H5" s="370">
        <f>'변경(260104_260131)'!H5</f>
        <v>9</v>
      </c>
      <c r="I5" s="371">
        <f>'변경(260104_260131)'!I5</f>
        <v>10</v>
      </c>
      <c r="J5" s="368">
        <f>'변경(260104_260131)'!J5</f>
        <v>11</v>
      </c>
      <c r="K5" s="370">
        <f>'변경(260104_260131)'!K5</f>
        <v>12</v>
      </c>
      <c r="L5" s="370">
        <f>'변경(260104_260131)'!L5</f>
        <v>13</v>
      </c>
      <c r="M5" s="370">
        <f>'변경(260104_260131)'!M5</f>
        <v>14</v>
      </c>
      <c r="N5" s="370">
        <f>'변경(260104_260131)'!N5</f>
        <v>15</v>
      </c>
      <c r="O5" s="370">
        <f>'변경(260104_260131)'!O5</f>
        <v>16</v>
      </c>
      <c r="P5" s="372">
        <f>'변경(260104_260131)'!P5</f>
        <v>17</v>
      </c>
      <c r="Q5" s="366">
        <f>'변경(260104_260131)'!Q5</f>
        <v>18</v>
      </c>
      <c r="R5" s="370">
        <f>'변경(260104_260131)'!R5</f>
        <v>19</v>
      </c>
      <c r="S5" s="370">
        <f>'변경(260104_260131)'!S5</f>
        <v>20</v>
      </c>
      <c r="T5" s="370">
        <f>'변경(260104_260131)'!T5</f>
        <v>21</v>
      </c>
      <c r="U5" s="370">
        <f>'변경(260104_260131)'!U5</f>
        <v>22</v>
      </c>
      <c r="V5" s="370">
        <f>'변경(260104_260131)'!V5</f>
        <v>23</v>
      </c>
      <c r="W5" s="371">
        <f>'변경(260104_260131)'!W5</f>
        <v>24</v>
      </c>
      <c r="X5" s="368">
        <f>'변경(260104_260131)'!X5</f>
        <v>25</v>
      </c>
      <c r="Y5" s="370">
        <f>'변경(260104_260131)'!Y5</f>
        <v>26</v>
      </c>
      <c r="Z5" s="370">
        <f>'변경(260104_260131)'!Z5</f>
        <v>27</v>
      </c>
      <c r="AA5" s="370">
        <f>'변경(260104_260131)'!AA5</f>
        <v>28</v>
      </c>
      <c r="AB5" s="370">
        <f>'변경(260104_260131)'!AB5</f>
        <v>29</v>
      </c>
      <c r="AC5" s="370">
        <f>'변경(260104_260131)'!AC5</f>
        <v>30</v>
      </c>
      <c r="AD5" s="371">
        <f>'변경(260104_260131)'!AD5</f>
        <v>31</v>
      </c>
      <c r="AE5" s="283" t="s">
        <v>3</v>
      </c>
      <c r="AF5" s="115" t="s">
        <v>3</v>
      </c>
      <c r="AG5" s="101"/>
      <c r="AH5" s="101"/>
      <c r="AI5" s="398"/>
      <c r="AJ5" s="398"/>
      <c r="AK5" s="16">
        <v>1</v>
      </c>
      <c r="AL5" s="16"/>
      <c r="AM5" s="16">
        <v>2</v>
      </c>
      <c r="AN5" s="16"/>
      <c r="AO5" s="16">
        <v>3</v>
      </c>
      <c r="AP5" s="16"/>
      <c r="AQ5" s="16">
        <v>4</v>
      </c>
      <c r="AR5" s="16"/>
      <c r="AS5" s="152"/>
      <c r="AT5" s="17"/>
      <c r="AU5" s="17"/>
      <c r="AV5" s="17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ht="17.25" thickBot="1">
      <c r="A6" s="141"/>
      <c r="B6" s="281" t="s">
        <v>4</v>
      </c>
      <c r="C6" s="367" t="str">
        <f>'변경(260104_260131)'!C6</f>
        <v>일</v>
      </c>
      <c r="D6" s="373" t="str">
        <f>'변경(260104_260131)'!D6</f>
        <v>월</v>
      </c>
      <c r="E6" s="373" t="str">
        <f>'변경(260104_260131)'!E6</f>
        <v>화</v>
      </c>
      <c r="F6" s="373" t="str">
        <f>'변경(260104_260131)'!F6</f>
        <v>수</v>
      </c>
      <c r="G6" s="373" t="str">
        <f>'변경(260104_260131)'!G6</f>
        <v>목</v>
      </c>
      <c r="H6" s="373" t="str">
        <f>'변경(260104_260131)'!H6</f>
        <v>금</v>
      </c>
      <c r="I6" s="374" t="str">
        <f>'변경(260104_260131)'!I6</f>
        <v>토</v>
      </c>
      <c r="J6" s="369" t="str">
        <f>'변경(260104_260131)'!J6</f>
        <v>일</v>
      </c>
      <c r="K6" s="373" t="str">
        <f>'변경(260104_260131)'!K6</f>
        <v>월</v>
      </c>
      <c r="L6" s="373" t="str">
        <f>'변경(260104_260131)'!L6</f>
        <v>화</v>
      </c>
      <c r="M6" s="373" t="str">
        <f>'변경(260104_260131)'!M6</f>
        <v>수</v>
      </c>
      <c r="N6" s="373" t="str">
        <f>'변경(260104_260131)'!N6</f>
        <v>목</v>
      </c>
      <c r="O6" s="373" t="str">
        <f>'변경(260104_260131)'!O6</f>
        <v>금</v>
      </c>
      <c r="P6" s="375" t="str">
        <f>'변경(260104_260131)'!P6</f>
        <v>토</v>
      </c>
      <c r="Q6" s="367" t="str">
        <f>'변경(260104_260131)'!Q6</f>
        <v>일</v>
      </c>
      <c r="R6" s="373" t="str">
        <f>'변경(260104_260131)'!R6</f>
        <v>월</v>
      </c>
      <c r="S6" s="373" t="str">
        <f>'변경(260104_260131)'!S6</f>
        <v>화</v>
      </c>
      <c r="T6" s="373" t="str">
        <f>'변경(260104_260131)'!T6</f>
        <v>수</v>
      </c>
      <c r="U6" s="373" t="str">
        <f>'변경(260104_260131)'!U6</f>
        <v>목</v>
      </c>
      <c r="V6" s="373" t="str">
        <f>'변경(260104_260131)'!V6</f>
        <v>금</v>
      </c>
      <c r="W6" s="374" t="str">
        <f>'변경(260104_260131)'!W6</f>
        <v>토</v>
      </c>
      <c r="X6" s="369" t="str">
        <f>'변경(260104_260131)'!X6</f>
        <v>일</v>
      </c>
      <c r="Y6" s="373" t="str">
        <f>'변경(260104_260131)'!Y6</f>
        <v>월</v>
      </c>
      <c r="Z6" s="373" t="str">
        <f>'변경(260104_260131)'!Z6</f>
        <v>화</v>
      </c>
      <c r="AA6" s="373" t="str">
        <f>'변경(260104_260131)'!AA6</f>
        <v>수</v>
      </c>
      <c r="AB6" s="373" t="str">
        <f>'변경(260104_260131)'!AB6</f>
        <v>목</v>
      </c>
      <c r="AC6" s="373" t="str">
        <f>'변경(260104_260131)'!AC6</f>
        <v>금</v>
      </c>
      <c r="AD6" s="374" t="str">
        <f>'변경(260104_260131)'!AD6</f>
        <v>토</v>
      </c>
      <c r="AE6" s="284" t="s">
        <v>5</v>
      </c>
      <c r="AF6" s="18" t="s">
        <v>6</v>
      </c>
      <c r="AG6" s="101"/>
      <c r="AH6" s="101"/>
      <c r="AI6" s="102"/>
      <c r="AJ6" s="103"/>
      <c r="AK6" s="19" t="s">
        <v>7</v>
      </c>
      <c r="AL6" s="19" t="s">
        <v>5</v>
      </c>
      <c r="AM6" s="19" t="s">
        <v>7</v>
      </c>
      <c r="AN6" s="19" t="s">
        <v>5</v>
      </c>
      <c r="AO6" s="19" t="s">
        <v>7</v>
      </c>
      <c r="AP6" s="19" t="s">
        <v>5</v>
      </c>
      <c r="AQ6" s="19" t="s">
        <v>7</v>
      </c>
      <c r="AR6" s="19" t="s">
        <v>5</v>
      </c>
      <c r="AS6" s="153"/>
      <c r="AT6" s="17" t="s">
        <v>8</v>
      </c>
      <c r="AU6" s="17" t="s">
        <v>9</v>
      </c>
      <c r="AV6" s="17" t="s">
        <v>10</v>
      </c>
      <c r="AW6" s="11" t="s">
        <v>11</v>
      </c>
      <c r="AX6" s="11" t="s">
        <v>12</v>
      </c>
      <c r="AY6" s="11" t="s">
        <v>13</v>
      </c>
      <c r="AZ6" s="11" t="s">
        <v>5</v>
      </c>
      <c r="BA6" s="11" t="s">
        <v>14</v>
      </c>
      <c r="BB6" s="11" t="s">
        <v>79</v>
      </c>
      <c r="BC6" s="11" t="s">
        <v>15</v>
      </c>
      <c r="BD6" s="11" t="s">
        <v>16</v>
      </c>
      <c r="BE6" s="11" t="s">
        <v>17</v>
      </c>
      <c r="BF6" s="11" t="s">
        <v>6</v>
      </c>
      <c r="BG6" s="11" t="s">
        <v>18</v>
      </c>
    </row>
    <row r="7" spans="1:59">
      <c r="A7" s="142" t="s">
        <v>19</v>
      </c>
      <c r="B7" s="20"/>
      <c r="C7" s="289" t="s">
        <v>66</v>
      </c>
      <c r="D7" s="233" t="s">
        <v>7</v>
      </c>
      <c r="E7" s="233" t="s">
        <v>66</v>
      </c>
      <c r="F7" s="304" t="s">
        <v>86</v>
      </c>
      <c r="G7" s="304" t="s">
        <v>20</v>
      </c>
      <c r="H7" s="233" t="s">
        <v>66</v>
      </c>
      <c r="I7" s="305" t="s">
        <v>20</v>
      </c>
      <c r="J7" s="289" t="s">
        <v>66</v>
      </c>
      <c r="K7" s="233" t="s">
        <v>7</v>
      </c>
      <c r="L7" s="304" t="s">
        <v>20</v>
      </c>
      <c r="M7" s="233" t="s">
        <v>25</v>
      </c>
      <c r="N7" s="233" t="s">
        <v>6</v>
      </c>
      <c r="O7" s="304" t="s">
        <v>5</v>
      </c>
      <c r="P7" s="306" t="s">
        <v>6</v>
      </c>
      <c r="Q7" s="289" t="s">
        <v>5</v>
      </c>
      <c r="R7" s="233" t="s">
        <v>7</v>
      </c>
      <c r="S7" s="304" t="s">
        <v>25</v>
      </c>
      <c r="T7" s="304" t="s">
        <v>67</v>
      </c>
      <c r="U7" s="304" t="s">
        <v>80</v>
      </c>
      <c r="V7" s="304" t="s">
        <v>14</v>
      </c>
      <c r="W7" s="307" t="s">
        <v>67</v>
      </c>
      <c r="X7" s="289" t="s">
        <v>67</v>
      </c>
      <c r="Y7" s="233" t="s">
        <v>7</v>
      </c>
      <c r="Z7" s="233" t="s">
        <v>20</v>
      </c>
      <c r="AA7" s="233" t="s">
        <v>80</v>
      </c>
      <c r="AB7" s="304" t="s">
        <v>5</v>
      </c>
      <c r="AC7" s="304" t="s">
        <v>12</v>
      </c>
      <c r="AD7" s="305" t="s">
        <v>14</v>
      </c>
      <c r="AE7" s="23">
        <f t="shared" ref="AE7:AE48" si="0">SUM(AT7:BD7)</f>
        <v>11</v>
      </c>
      <c r="AF7" s="24">
        <f>COUNTIF(C7:AD7,"N")</f>
        <v>4</v>
      </c>
      <c r="AG7" s="104"/>
      <c r="AH7" s="105"/>
      <c r="AI7" s="106"/>
      <c r="AJ7" s="106"/>
      <c r="AK7" s="174">
        <f t="shared" ref="AK7:AK38" si="1">COUNTIF($C7:$I7,AK$6)</f>
        <v>1</v>
      </c>
      <c r="AL7" s="26">
        <f t="shared" ref="AL7:AL38" si="2">COUNTIF($C7:$I7,AL$6&amp;"*")</f>
        <v>1</v>
      </c>
      <c r="AM7" s="26">
        <f t="shared" ref="AM7:AN23" si="3">COUNTIF($J7:$P7,AM$6)</f>
        <v>1</v>
      </c>
      <c r="AN7" s="26">
        <f t="shared" si="3"/>
        <v>1</v>
      </c>
      <c r="AO7" s="26">
        <f t="shared" ref="AO7:AP23" si="4">COUNTIF($Q7:$W7,AO$6)</f>
        <v>1</v>
      </c>
      <c r="AP7" s="26">
        <f t="shared" si="4"/>
        <v>1</v>
      </c>
      <c r="AQ7" s="26">
        <f t="shared" ref="AQ7:AR23" si="5">COUNTIF($X7:$AD7,AQ$6)</f>
        <v>1</v>
      </c>
      <c r="AR7" s="26">
        <f t="shared" si="5"/>
        <v>1</v>
      </c>
      <c r="AS7" s="142" t="s">
        <v>19</v>
      </c>
      <c r="AT7" s="17">
        <f t="shared" ref="AT7:AT48" si="6">COUNTIF(C7:AD7,"특*")</f>
        <v>0</v>
      </c>
      <c r="AU7" s="17">
        <f t="shared" ref="AU7:AU48" si="7">COUNTIF(C7:AD7,"경가")</f>
        <v>0</v>
      </c>
      <c r="AV7" s="17">
        <f t="shared" ref="AV7:AV48" si="8">COUNTIF(C7:AD7,"병*")</f>
        <v>0</v>
      </c>
      <c r="AW7" s="11">
        <f t="shared" ref="AW7:AW48" si="9">COUNTIF(C7:AD7,"공*")</f>
        <v>0</v>
      </c>
      <c r="AX7" s="11">
        <f t="shared" ref="AX7:AX48" si="10">COUNTIF(C7:AD7,"생*")+COUNTIF(C7:AD7,"산전")+COUNTIF(C7:AD7,"검진")</f>
        <v>1</v>
      </c>
      <c r="AY7" s="11">
        <f t="shared" ref="AY7:AY48" si="11">COUNTIF(C7:AD7,"법*")</f>
        <v>0</v>
      </c>
      <c r="AZ7" s="11">
        <f t="shared" ref="AZ7:AZ48" si="12">COUNTIF(C7:AD7,"*OFF*")</f>
        <v>4</v>
      </c>
      <c r="BA7" s="11">
        <f t="shared" ref="BA7:BA48" si="13">COUNTIF(C7:AD7,"VAC*")+COUNTIF(C7:AD7,"휴가")</f>
        <v>2</v>
      </c>
      <c r="BB7" s="11">
        <f>COUNTIF(C7:AD7,"출산")</f>
        <v>0</v>
      </c>
      <c r="BC7" s="11">
        <f>COUNTIF(C7:AD7,"*수면*")</f>
        <v>0</v>
      </c>
      <c r="BD7" s="11">
        <f t="shared" ref="BD7:BD48" si="14">COUNTIF(C7:AD7,"주")</f>
        <v>4</v>
      </c>
      <c r="BE7" s="28">
        <f t="shared" ref="BE7:BE48" si="15">SUM(AX7:BD7)</f>
        <v>11</v>
      </c>
      <c r="BF7" s="29">
        <f t="shared" ref="BF7:BF48" si="16">COUNTIF(J7:AD7,"N")</f>
        <v>4</v>
      </c>
      <c r="BG7" s="11">
        <f t="shared" ref="BG7:BG48" si="17">SUM(AU7:BD7)</f>
        <v>11</v>
      </c>
    </row>
    <row r="8" spans="1:59">
      <c r="A8" s="40" t="s">
        <v>21</v>
      </c>
      <c r="B8" s="30"/>
      <c r="C8" s="252" t="s">
        <v>80</v>
      </c>
      <c r="D8" s="258" t="s">
        <v>87</v>
      </c>
      <c r="E8" s="187" t="s">
        <v>7</v>
      </c>
      <c r="F8" s="187" t="s">
        <v>66</v>
      </c>
      <c r="G8" s="258" t="s">
        <v>82</v>
      </c>
      <c r="H8" s="187" t="s">
        <v>80</v>
      </c>
      <c r="I8" s="308" t="s">
        <v>80</v>
      </c>
      <c r="J8" s="309" t="s">
        <v>82</v>
      </c>
      <c r="K8" s="187" t="s">
        <v>69</v>
      </c>
      <c r="L8" s="187" t="s">
        <v>7</v>
      </c>
      <c r="M8" s="258" t="s">
        <v>66</v>
      </c>
      <c r="N8" s="258" t="s">
        <v>66</v>
      </c>
      <c r="O8" s="187" t="s">
        <v>83</v>
      </c>
      <c r="P8" s="308" t="s">
        <v>66</v>
      </c>
      <c r="Q8" s="252" t="s">
        <v>66</v>
      </c>
      <c r="R8" s="258" t="s">
        <v>82</v>
      </c>
      <c r="S8" s="187" t="s">
        <v>7</v>
      </c>
      <c r="T8" s="258" t="s">
        <v>88</v>
      </c>
      <c r="U8" s="187" t="s">
        <v>66</v>
      </c>
      <c r="V8" s="187" t="s">
        <v>66</v>
      </c>
      <c r="W8" s="308" t="s">
        <v>66</v>
      </c>
      <c r="X8" s="309" t="s">
        <v>66</v>
      </c>
      <c r="Y8" s="187" t="s">
        <v>67</v>
      </c>
      <c r="Z8" s="187" t="s">
        <v>7</v>
      </c>
      <c r="AA8" s="258" t="s">
        <v>66</v>
      </c>
      <c r="AB8" s="258" t="s">
        <v>66</v>
      </c>
      <c r="AC8" s="258" t="s">
        <v>82</v>
      </c>
      <c r="AD8" s="308" t="s">
        <v>80</v>
      </c>
      <c r="AE8" s="34">
        <f t="shared" si="0"/>
        <v>11</v>
      </c>
      <c r="AF8" s="35">
        <f t="shared" ref="AF8:AF48" si="18">COUNTIF(C8:AD8,"N")</f>
        <v>4</v>
      </c>
      <c r="AG8" s="104"/>
      <c r="AH8" s="105"/>
      <c r="AI8" s="106"/>
      <c r="AJ8" s="106"/>
      <c r="AK8" s="175">
        <f t="shared" si="1"/>
        <v>1</v>
      </c>
      <c r="AL8" s="38">
        <f t="shared" si="2"/>
        <v>1</v>
      </c>
      <c r="AM8" s="38">
        <f t="shared" si="3"/>
        <v>1</v>
      </c>
      <c r="AN8" s="38">
        <f>COUNTIF($J8:$P8,AN$6)</f>
        <v>1</v>
      </c>
      <c r="AO8" s="38">
        <f t="shared" si="4"/>
        <v>1</v>
      </c>
      <c r="AP8" s="38">
        <f t="shared" si="4"/>
        <v>1</v>
      </c>
      <c r="AQ8" s="38">
        <f t="shared" si="5"/>
        <v>1</v>
      </c>
      <c r="AR8" s="38">
        <f t="shared" si="5"/>
        <v>1</v>
      </c>
      <c r="AS8" s="40" t="s">
        <v>21</v>
      </c>
      <c r="AT8" s="17">
        <f t="shared" si="6"/>
        <v>0</v>
      </c>
      <c r="AU8" s="17">
        <f t="shared" si="7"/>
        <v>0</v>
      </c>
      <c r="AV8" s="17">
        <f t="shared" si="8"/>
        <v>0</v>
      </c>
      <c r="AW8" s="11">
        <f t="shared" si="9"/>
        <v>0</v>
      </c>
      <c r="AX8" s="11">
        <f t="shared" si="10"/>
        <v>1</v>
      </c>
      <c r="AY8" s="11">
        <f t="shared" si="11"/>
        <v>0</v>
      </c>
      <c r="AZ8" s="11">
        <f t="shared" si="12"/>
        <v>4</v>
      </c>
      <c r="BA8" s="11">
        <f t="shared" si="13"/>
        <v>2</v>
      </c>
      <c r="BB8" s="11">
        <f t="shared" ref="BB8:BB48" si="19">COUNTIF(C8:AD8,"출산")</f>
        <v>0</v>
      </c>
      <c r="BC8" s="11">
        <f t="shared" ref="BC8:BC48" si="20">COUNTIF(C8:AD8,"*수면*")</f>
        <v>0</v>
      </c>
      <c r="BD8" s="11">
        <f t="shared" si="14"/>
        <v>4</v>
      </c>
      <c r="BE8" s="28">
        <f t="shared" si="15"/>
        <v>11</v>
      </c>
      <c r="BF8" s="29">
        <f t="shared" si="16"/>
        <v>1</v>
      </c>
      <c r="BG8" s="11">
        <f t="shared" si="17"/>
        <v>11</v>
      </c>
    </row>
    <row r="9" spans="1:59">
      <c r="A9" s="40" t="s">
        <v>22</v>
      </c>
      <c r="B9" s="41"/>
      <c r="C9" s="309" t="s">
        <v>67</v>
      </c>
      <c r="D9" s="187" t="s">
        <v>67</v>
      </c>
      <c r="E9" s="187" t="s">
        <v>67</v>
      </c>
      <c r="F9" s="187" t="s">
        <v>67</v>
      </c>
      <c r="G9" s="187" t="s">
        <v>7</v>
      </c>
      <c r="H9" s="187" t="s">
        <v>82</v>
      </c>
      <c r="I9" s="308" t="s">
        <v>81</v>
      </c>
      <c r="J9" s="309" t="s">
        <v>67</v>
      </c>
      <c r="K9" s="187" t="s">
        <v>67</v>
      </c>
      <c r="L9" s="187" t="s">
        <v>80</v>
      </c>
      <c r="M9" s="187" t="s">
        <v>80</v>
      </c>
      <c r="N9" s="187" t="s">
        <v>7</v>
      </c>
      <c r="O9" s="258" t="s">
        <v>89</v>
      </c>
      <c r="P9" s="308" t="s">
        <v>25</v>
      </c>
      <c r="Q9" s="309" t="s">
        <v>67</v>
      </c>
      <c r="R9" s="187" t="s">
        <v>82</v>
      </c>
      <c r="S9" s="187" t="s">
        <v>80</v>
      </c>
      <c r="T9" s="187" t="s">
        <v>80</v>
      </c>
      <c r="U9" s="187" t="s">
        <v>7</v>
      </c>
      <c r="V9" s="258" t="s">
        <v>14</v>
      </c>
      <c r="W9" s="310" t="s">
        <v>69</v>
      </c>
      <c r="X9" s="252" t="s">
        <v>89</v>
      </c>
      <c r="Y9" s="187" t="s">
        <v>66</v>
      </c>
      <c r="Z9" s="187" t="s">
        <v>67</v>
      </c>
      <c r="AA9" s="187" t="s">
        <v>67</v>
      </c>
      <c r="AB9" s="187" t="s">
        <v>7</v>
      </c>
      <c r="AC9" s="187" t="s">
        <v>66</v>
      </c>
      <c r="AD9" s="308" t="s">
        <v>67</v>
      </c>
      <c r="AE9" s="34">
        <f t="shared" si="0"/>
        <v>11</v>
      </c>
      <c r="AF9" s="35">
        <f t="shared" si="18"/>
        <v>4</v>
      </c>
      <c r="AG9" s="104"/>
      <c r="AH9" s="105"/>
      <c r="AI9" s="106"/>
      <c r="AJ9" s="106"/>
      <c r="AK9" s="175">
        <f t="shared" si="1"/>
        <v>1</v>
      </c>
      <c r="AL9" s="38">
        <f t="shared" si="2"/>
        <v>1</v>
      </c>
      <c r="AM9" s="38">
        <f t="shared" si="3"/>
        <v>1</v>
      </c>
      <c r="AN9" s="38">
        <f t="shared" si="3"/>
        <v>1</v>
      </c>
      <c r="AO9" s="38">
        <f t="shared" si="4"/>
        <v>1</v>
      </c>
      <c r="AP9" s="38">
        <f t="shared" si="4"/>
        <v>1</v>
      </c>
      <c r="AQ9" s="38">
        <f t="shared" si="5"/>
        <v>1</v>
      </c>
      <c r="AR9" s="38">
        <f t="shared" si="5"/>
        <v>1</v>
      </c>
      <c r="AS9" s="40" t="s">
        <v>22</v>
      </c>
      <c r="AT9" s="17">
        <f t="shared" si="6"/>
        <v>0</v>
      </c>
      <c r="AU9" s="17">
        <f t="shared" si="7"/>
        <v>0</v>
      </c>
      <c r="AV9" s="17">
        <f t="shared" si="8"/>
        <v>0</v>
      </c>
      <c r="AW9" s="11">
        <f t="shared" si="9"/>
        <v>0</v>
      </c>
      <c r="AX9" s="11">
        <f t="shared" si="10"/>
        <v>1</v>
      </c>
      <c r="AY9" s="11">
        <f t="shared" si="11"/>
        <v>0</v>
      </c>
      <c r="AZ9" s="11">
        <f t="shared" si="12"/>
        <v>4</v>
      </c>
      <c r="BA9" s="11">
        <f t="shared" si="13"/>
        <v>2</v>
      </c>
      <c r="BB9" s="11">
        <f t="shared" si="19"/>
        <v>0</v>
      </c>
      <c r="BC9" s="11">
        <f t="shared" si="20"/>
        <v>0</v>
      </c>
      <c r="BD9" s="11">
        <f t="shared" si="14"/>
        <v>4</v>
      </c>
      <c r="BE9" s="28">
        <f t="shared" si="15"/>
        <v>11</v>
      </c>
      <c r="BF9" s="29">
        <f t="shared" si="16"/>
        <v>4</v>
      </c>
      <c r="BG9" s="11">
        <f t="shared" si="17"/>
        <v>11</v>
      </c>
    </row>
    <row r="10" spans="1:59">
      <c r="A10" s="40" t="s">
        <v>23</v>
      </c>
      <c r="B10" s="30"/>
      <c r="C10" s="309" t="s">
        <v>81</v>
      </c>
      <c r="D10" s="187" t="s">
        <v>7</v>
      </c>
      <c r="E10" s="187" t="s">
        <v>66</v>
      </c>
      <c r="F10" s="187" t="s">
        <v>66</v>
      </c>
      <c r="G10" s="187" t="s">
        <v>66</v>
      </c>
      <c r="H10" s="258" t="s">
        <v>66</v>
      </c>
      <c r="I10" s="310" t="s">
        <v>82</v>
      </c>
      <c r="J10" s="252" t="s">
        <v>82</v>
      </c>
      <c r="K10" s="187" t="s">
        <v>7</v>
      </c>
      <c r="L10" s="187" t="s">
        <v>66</v>
      </c>
      <c r="M10" s="257" t="s">
        <v>66</v>
      </c>
      <c r="N10" s="187" t="s">
        <v>80</v>
      </c>
      <c r="O10" s="258" t="s">
        <v>80</v>
      </c>
      <c r="P10" s="308" t="s">
        <v>80</v>
      </c>
      <c r="Q10" s="309" t="s">
        <v>82</v>
      </c>
      <c r="R10" s="187" t="s">
        <v>7</v>
      </c>
      <c r="S10" s="187" t="s">
        <v>81</v>
      </c>
      <c r="T10" s="187" t="s">
        <v>66</v>
      </c>
      <c r="U10" s="187" t="s">
        <v>66</v>
      </c>
      <c r="V10" s="258" t="s">
        <v>80</v>
      </c>
      <c r="W10" s="308" t="s">
        <v>80</v>
      </c>
      <c r="X10" s="309" t="s">
        <v>80</v>
      </c>
      <c r="Y10" s="187" t="s">
        <v>7</v>
      </c>
      <c r="Z10" s="187" t="s">
        <v>82</v>
      </c>
      <c r="AA10" s="187" t="s">
        <v>66</v>
      </c>
      <c r="AB10" s="187" t="s">
        <v>66</v>
      </c>
      <c r="AC10" s="187" t="s">
        <v>66</v>
      </c>
      <c r="AD10" s="308" t="s">
        <v>81</v>
      </c>
      <c r="AE10" s="34">
        <f t="shared" si="0"/>
        <v>11</v>
      </c>
      <c r="AF10" s="35">
        <f t="shared" si="18"/>
        <v>6</v>
      </c>
      <c r="AG10" s="104"/>
      <c r="AH10" s="105"/>
      <c r="AI10" s="106"/>
      <c r="AJ10" s="106"/>
      <c r="AK10" s="175">
        <f t="shared" si="1"/>
        <v>1</v>
      </c>
      <c r="AL10" s="38">
        <f t="shared" si="2"/>
        <v>1</v>
      </c>
      <c r="AM10" s="38">
        <f t="shared" si="3"/>
        <v>1</v>
      </c>
      <c r="AN10" s="38">
        <f t="shared" si="3"/>
        <v>1</v>
      </c>
      <c r="AO10" s="38">
        <f t="shared" si="4"/>
        <v>1</v>
      </c>
      <c r="AP10" s="38">
        <f>COUNTIF($Q10:$W10,AP$6)</f>
        <v>1</v>
      </c>
      <c r="AQ10" s="38">
        <f t="shared" si="5"/>
        <v>1</v>
      </c>
      <c r="AR10" s="38">
        <f t="shared" si="5"/>
        <v>1</v>
      </c>
      <c r="AS10" s="40" t="s">
        <v>23</v>
      </c>
      <c r="AT10" s="17">
        <f t="shared" si="6"/>
        <v>0</v>
      </c>
      <c r="AU10" s="17">
        <f t="shared" si="7"/>
        <v>0</v>
      </c>
      <c r="AV10" s="17">
        <f t="shared" si="8"/>
        <v>0</v>
      </c>
      <c r="AW10" s="11">
        <f t="shared" si="9"/>
        <v>0</v>
      </c>
      <c r="AX10" s="11">
        <f t="shared" si="10"/>
        <v>0</v>
      </c>
      <c r="AY10" s="11">
        <f t="shared" si="11"/>
        <v>0</v>
      </c>
      <c r="AZ10" s="11">
        <f t="shared" si="12"/>
        <v>4</v>
      </c>
      <c r="BA10" s="11">
        <f t="shared" si="13"/>
        <v>3</v>
      </c>
      <c r="BB10" s="11">
        <f t="shared" si="19"/>
        <v>0</v>
      </c>
      <c r="BC10" s="11">
        <f t="shared" si="20"/>
        <v>0</v>
      </c>
      <c r="BD10" s="11">
        <f t="shared" si="14"/>
        <v>4</v>
      </c>
      <c r="BE10" s="28">
        <f t="shared" si="15"/>
        <v>11</v>
      </c>
      <c r="BF10" s="29">
        <f t="shared" si="16"/>
        <v>6</v>
      </c>
      <c r="BG10" s="11">
        <f t="shared" si="17"/>
        <v>11</v>
      </c>
    </row>
    <row r="11" spans="1:59">
      <c r="A11" s="244" t="s">
        <v>24</v>
      </c>
      <c r="B11" s="42"/>
      <c r="C11" s="309" t="s">
        <v>7</v>
      </c>
      <c r="D11" s="187" t="s">
        <v>82</v>
      </c>
      <c r="E11" s="256" t="s">
        <v>84</v>
      </c>
      <c r="F11" s="187" t="s">
        <v>66</v>
      </c>
      <c r="G11" s="258" t="s">
        <v>20</v>
      </c>
      <c r="H11" s="258" t="s">
        <v>5</v>
      </c>
      <c r="I11" s="310" t="s">
        <v>12</v>
      </c>
      <c r="J11" s="309" t="s">
        <v>7</v>
      </c>
      <c r="K11" s="258" t="s">
        <v>5</v>
      </c>
      <c r="L11" s="187" t="s">
        <v>67</v>
      </c>
      <c r="M11" s="187" t="s">
        <v>82</v>
      </c>
      <c r="N11" s="187" t="s">
        <v>66</v>
      </c>
      <c r="O11" s="187" t="s">
        <v>66</v>
      </c>
      <c r="P11" s="308" t="s">
        <v>80</v>
      </c>
      <c r="Q11" s="309" t="s">
        <v>7</v>
      </c>
      <c r="R11" s="187" t="s">
        <v>67</v>
      </c>
      <c r="S11" s="256" t="s">
        <v>80</v>
      </c>
      <c r="T11" s="187" t="s">
        <v>5</v>
      </c>
      <c r="U11" s="258" t="s">
        <v>5</v>
      </c>
      <c r="V11" s="187" t="s">
        <v>80</v>
      </c>
      <c r="W11" s="308" t="s">
        <v>80</v>
      </c>
      <c r="X11" s="309" t="s">
        <v>7</v>
      </c>
      <c r="Y11" s="187" t="s">
        <v>82</v>
      </c>
      <c r="Z11" s="187" t="s">
        <v>67</v>
      </c>
      <c r="AA11" s="187" t="s">
        <v>67</v>
      </c>
      <c r="AB11" s="258" t="s">
        <v>5</v>
      </c>
      <c r="AC11" s="187" t="s">
        <v>80</v>
      </c>
      <c r="AD11" s="308" t="s">
        <v>80</v>
      </c>
      <c r="AE11" s="34">
        <f t="shared" si="0"/>
        <v>14</v>
      </c>
      <c r="AF11" s="35">
        <f t="shared" si="18"/>
        <v>6</v>
      </c>
      <c r="AG11" s="104"/>
      <c r="AH11" s="105"/>
      <c r="AI11" s="106"/>
      <c r="AJ11" s="106"/>
      <c r="AK11" s="175">
        <f t="shared" si="1"/>
        <v>1</v>
      </c>
      <c r="AL11" s="38">
        <f t="shared" si="2"/>
        <v>2</v>
      </c>
      <c r="AM11" s="38">
        <f t="shared" si="3"/>
        <v>1</v>
      </c>
      <c r="AN11" s="43">
        <f t="shared" si="3"/>
        <v>2</v>
      </c>
      <c r="AO11" s="38">
        <f t="shared" si="4"/>
        <v>1</v>
      </c>
      <c r="AP11" s="38">
        <f t="shared" si="4"/>
        <v>2</v>
      </c>
      <c r="AQ11" s="38">
        <f t="shared" si="5"/>
        <v>1</v>
      </c>
      <c r="AR11" s="38">
        <f t="shared" si="5"/>
        <v>2</v>
      </c>
      <c r="AS11" s="244" t="s">
        <v>24</v>
      </c>
      <c r="AT11" s="17">
        <f t="shared" si="6"/>
        <v>1</v>
      </c>
      <c r="AU11" s="17">
        <f t="shared" si="7"/>
        <v>0</v>
      </c>
      <c r="AV11" s="17">
        <f t="shared" si="8"/>
        <v>0</v>
      </c>
      <c r="AW11" s="11">
        <f t="shared" si="9"/>
        <v>0</v>
      </c>
      <c r="AX11" s="11">
        <f t="shared" si="10"/>
        <v>1</v>
      </c>
      <c r="AY11" s="11">
        <f t="shared" si="11"/>
        <v>0</v>
      </c>
      <c r="AZ11" s="11">
        <f t="shared" si="12"/>
        <v>8</v>
      </c>
      <c r="BA11" s="11">
        <f t="shared" si="13"/>
        <v>0</v>
      </c>
      <c r="BB11" s="11">
        <f t="shared" si="19"/>
        <v>0</v>
      </c>
      <c r="BC11" s="11">
        <f t="shared" si="20"/>
        <v>0</v>
      </c>
      <c r="BD11" s="11">
        <f t="shared" si="14"/>
        <v>4</v>
      </c>
      <c r="BE11" s="28">
        <f t="shared" si="15"/>
        <v>13</v>
      </c>
      <c r="BF11" s="29">
        <f t="shared" si="16"/>
        <v>6</v>
      </c>
      <c r="BG11" s="11">
        <f t="shared" si="17"/>
        <v>13</v>
      </c>
    </row>
    <row r="12" spans="1:59">
      <c r="A12" s="244" t="s">
        <v>26</v>
      </c>
      <c r="B12" s="30"/>
      <c r="C12" s="252" t="s">
        <v>90</v>
      </c>
      <c r="D12" s="187" t="s">
        <v>80</v>
      </c>
      <c r="E12" s="256" t="s">
        <v>80</v>
      </c>
      <c r="F12" s="187" t="s">
        <v>82</v>
      </c>
      <c r="G12" s="258" t="s">
        <v>5</v>
      </c>
      <c r="H12" s="187" t="s">
        <v>65</v>
      </c>
      <c r="I12" s="310" t="s">
        <v>20</v>
      </c>
      <c r="J12" s="252" t="s">
        <v>5</v>
      </c>
      <c r="K12" s="187" t="s">
        <v>66</v>
      </c>
      <c r="L12" s="187" t="s">
        <v>66</v>
      </c>
      <c r="M12" s="187" t="s">
        <v>82</v>
      </c>
      <c r="N12" s="258" t="s">
        <v>20</v>
      </c>
      <c r="O12" s="187" t="s">
        <v>65</v>
      </c>
      <c r="P12" s="310" t="s">
        <v>12</v>
      </c>
      <c r="Q12" s="252" t="s">
        <v>6</v>
      </c>
      <c r="R12" s="187" t="s">
        <v>80</v>
      </c>
      <c r="S12" s="187" t="s">
        <v>82</v>
      </c>
      <c r="T12" s="187" t="s">
        <v>82</v>
      </c>
      <c r="U12" s="256" t="s">
        <v>67</v>
      </c>
      <c r="V12" s="187" t="s">
        <v>65</v>
      </c>
      <c r="W12" s="308" t="s">
        <v>67</v>
      </c>
      <c r="X12" s="309" t="s">
        <v>67</v>
      </c>
      <c r="Y12" s="187" t="s">
        <v>82</v>
      </c>
      <c r="Z12" s="187" t="s">
        <v>80</v>
      </c>
      <c r="AA12" s="187" t="s">
        <v>80</v>
      </c>
      <c r="AB12" s="187" t="s">
        <v>89</v>
      </c>
      <c r="AC12" s="187" t="s">
        <v>65</v>
      </c>
      <c r="AD12" s="308" t="s">
        <v>66</v>
      </c>
      <c r="AE12" s="34">
        <f t="shared" si="0"/>
        <v>14</v>
      </c>
      <c r="AF12" s="35">
        <f t="shared" si="18"/>
        <v>6</v>
      </c>
      <c r="AG12" s="104"/>
      <c r="AH12" s="105"/>
      <c r="AI12" s="106"/>
      <c r="AJ12" s="106"/>
      <c r="AK12" s="175">
        <f t="shared" si="1"/>
        <v>1</v>
      </c>
      <c r="AL12" s="38">
        <f t="shared" si="2"/>
        <v>2</v>
      </c>
      <c r="AM12" s="38">
        <f t="shared" si="3"/>
        <v>1</v>
      </c>
      <c r="AN12" s="38">
        <f t="shared" si="3"/>
        <v>2</v>
      </c>
      <c r="AO12" s="38">
        <f t="shared" si="4"/>
        <v>1</v>
      </c>
      <c r="AP12" s="38">
        <f t="shared" si="4"/>
        <v>2</v>
      </c>
      <c r="AQ12" s="38">
        <f t="shared" si="5"/>
        <v>1</v>
      </c>
      <c r="AR12" s="38">
        <f t="shared" si="5"/>
        <v>2</v>
      </c>
      <c r="AS12" s="244" t="s">
        <v>26</v>
      </c>
      <c r="AT12" s="17">
        <f t="shared" si="6"/>
        <v>0</v>
      </c>
      <c r="AU12" s="17">
        <f t="shared" si="7"/>
        <v>0</v>
      </c>
      <c r="AV12" s="17">
        <f t="shared" si="8"/>
        <v>0</v>
      </c>
      <c r="AW12" s="11">
        <f t="shared" si="9"/>
        <v>0</v>
      </c>
      <c r="AX12" s="11">
        <f t="shared" si="10"/>
        <v>1</v>
      </c>
      <c r="AY12" s="11">
        <f t="shared" si="11"/>
        <v>0</v>
      </c>
      <c r="AZ12" s="11">
        <f t="shared" si="12"/>
        <v>8</v>
      </c>
      <c r="BA12" s="11">
        <f t="shared" si="13"/>
        <v>0</v>
      </c>
      <c r="BB12" s="11">
        <f t="shared" si="19"/>
        <v>0</v>
      </c>
      <c r="BC12" s="11">
        <f t="shared" si="20"/>
        <v>1</v>
      </c>
      <c r="BD12" s="11">
        <f t="shared" si="14"/>
        <v>4</v>
      </c>
      <c r="BE12" s="28">
        <f t="shared" si="15"/>
        <v>14</v>
      </c>
      <c r="BF12" s="29">
        <f t="shared" si="16"/>
        <v>4</v>
      </c>
      <c r="BG12" s="11">
        <f t="shared" si="17"/>
        <v>14</v>
      </c>
    </row>
    <row r="13" spans="1:59">
      <c r="A13" s="40" t="s">
        <v>27</v>
      </c>
      <c r="B13" s="44"/>
      <c r="C13" s="309" t="s">
        <v>67</v>
      </c>
      <c r="D13" s="187" t="s">
        <v>82</v>
      </c>
      <c r="E13" s="256" t="s">
        <v>67</v>
      </c>
      <c r="F13" s="187" t="s">
        <v>80</v>
      </c>
      <c r="G13" s="187" t="s">
        <v>80</v>
      </c>
      <c r="H13" s="187" t="s">
        <v>80</v>
      </c>
      <c r="I13" s="308" t="s">
        <v>7</v>
      </c>
      <c r="J13" s="309" t="s">
        <v>82</v>
      </c>
      <c r="K13" s="187" t="s">
        <v>67</v>
      </c>
      <c r="L13" s="187" t="s">
        <v>67</v>
      </c>
      <c r="M13" s="187" t="s">
        <v>67</v>
      </c>
      <c r="N13" s="187" t="s">
        <v>67</v>
      </c>
      <c r="O13" s="187" t="s">
        <v>81</v>
      </c>
      <c r="P13" s="308" t="s">
        <v>7</v>
      </c>
      <c r="Q13" s="252" t="s">
        <v>82</v>
      </c>
      <c r="R13" s="258" t="s">
        <v>69</v>
      </c>
      <c r="S13" s="187" t="s">
        <v>66</v>
      </c>
      <c r="T13" s="187" t="s">
        <v>66</v>
      </c>
      <c r="U13" s="256" t="s">
        <v>80</v>
      </c>
      <c r="V13" s="187" t="s">
        <v>80</v>
      </c>
      <c r="W13" s="308" t="s">
        <v>7</v>
      </c>
      <c r="X13" s="309" t="s">
        <v>89</v>
      </c>
      <c r="Y13" s="187" t="s">
        <v>67</v>
      </c>
      <c r="Z13" s="187" t="s">
        <v>67</v>
      </c>
      <c r="AA13" s="187" t="s">
        <v>67</v>
      </c>
      <c r="AB13" s="187" t="s">
        <v>80</v>
      </c>
      <c r="AC13" s="258" t="s">
        <v>14</v>
      </c>
      <c r="AD13" s="308" t="s">
        <v>7</v>
      </c>
      <c r="AE13" s="116">
        <f t="shared" si="0"/>
        <v>11</v>
      </c>
      <c r="AF13" s="45">
        <f t="shared" si="18"/>
        <v>6</v>
      </c>
      <c r="AG13" s="104"/>
      <c r="AH13" s="105"/>
      <c r="AI13" s="106"/>
      <c r="AJ13" s="106"/>
      <c r="AK13" s="175">
        <f t="shared" si="1"/>
        <v>1</v>
      </c>
      <c r="AL13" s="38">
        <f t="shared" si="2"/>
        <v>1</v>
      </c>
      <c r="AM13" s="38">
        <f t="shared" si="3"/>
        <v>1</v>
      </c>
      <c r="AN13" s="38">
        <f t="shared" si="3"/>
        <v>1</v>
      </c>
      <c r="AO13" s="38">
        <f t="shared" si="4"/>
        <v>1</v>
      </c>
      <c r="AP13" s="38">
        <f t="shared" si="4"/>
        <v>1</v>
      </c>
      <c r="AQ13" s="38">
        <f t="shared" si="5"/>
        <v>1</v>
      </c>
      <c r="AR13" s="38">
        <f t="shared" si="5"/>
        <v>1</v>
      </c>
      <c r="AS13" s="40" t="s">
        <v>27</v>
      </c>
      <c r="AT13" s="17">
        <f t="shared" si="6"/>
        <v>0</v>
      </c>
      <c r="AU13" s="17">
        <f t="shared" si="7"/>
        <v>0</v>
      </c>
      <c r="AV13" s="17">
        <f t="shared" si="8"/>
        <v>0</v>
      </c>
      <c r="AW13" s="11">
        <f t="shared" si="9"/>
        <v>0</v>
      </c>
      <c r="AX13" s="11">
        <f t="shared" si="10"/>
        <v>1</v>
      </c>
      <c r="AY13" s="11">
        <f t="shared" si="11"/>
        <v>0</v>
      </c>
      <c r="AZ13" s="11">
        <f t="shared" si="12"/>
        <v>4</v>
      </c>
      <c r="BA13" s="11">
        <f t="shared" si="13"/>
        <v>2</v>
      </c>
      <c r="BB13" s="11">
        <f t="shared" si="19"/>
        <v>0</v>
      </c>
      <c r="BC13" s="11">
        <f t="shared" si="20"/>
        <v>0</v>
      </c>
      <c r="BD13" s="11">
        <f t="shared" si="14"/>
        <v>4</v>
      </c>
      <c r="BE13" s="28">
        <f t="shared" si="15"/>
        <v>11</v>
      </c>
      <c r="BF13" s="29">
        <f t="shared" si="16"/>
        <v>3</v>
      </c>
      <c r="BG13" s="11">
        <f t="shared" si="17"/>
        <v>11</v>
      </c>
    </row>
    <row r="14" spans="1:59">
      <c r="A14" s="143" t="s">
        <v>28</v>
      </c>
      <c r="B14" s="44"/>
      <c r="C14" s="309" t="s">
        <v>66</v>
      </c>
      <c r="D14" s="187" t="s">
        <v>66</v>
      </c>
      <c r="E14" s="256" t="s">
        <v>66</v>
      </c>
      <c r="F14" s="187" t="s">
        <v>65</v>
      </c>
      <c r="G14" s="187" t="s">
        <v>89</v>
      </c>
      <c r="H14" s="187" t="s">
        <v>67</v>
      </c>
      <c r="I14" s="308" t="s">
        <v>67</v>
      </c>
      <c r="J14" s="309" t="s">
        <v>80</v>
      </c>
      <c r="K14" s="187" t="s">
        <v>80</v>
      </c>
      <c r="L14" s="187" t="s">
        <v>82</v>
      </c>
      <c r="M14" s="187" t="s">
        <v>65</v>
      </c>
      <c r="N14" s="187" t="s">
        <v>67</v>
      </c>
      <c r="O14" s="187" t="s">
        <v>67</v>
      </c>
      <c r="P14" s="310" t="s">
        <v>67</v>
      </c>
      <c r="Q14" s="252" t="s">
        <v>86</v>
      </c>
      <c r="R14" s="258" t="s">
        <v>12</v>
      </c>
      <c r="S14" s="258" t="s">
        <v>90</v>
      </c>
      <c r="T14" s="187" t="s">
        <v>65</v>
      </c>
      <c r="U14" s="256" t="s">
        <v>66</v>
      </c>
      <c r="V14" s="187" t="s">
        <v>81</v>
      </c>
      <c r="W14" s="308" t="s">
        <v>67</v>
      </c>
      <c r="X14" s="309" t="s">
        <v>80</v>
      </c>
      <c r="Y14" s="187" t="s">
        <v>80</v>
      </c>
      <c r="Z14" s="187" t="s">
        <v>80</v>
      </c>
      <c r="AA14" s="187" t="s">
        <v>65</v>
      </c>
      <c r="AB14" s="187" t="s">
        <v>82</v>
      </c>
      <c r="AC14" s="187" t="s">
        <v>67</v>
      </c>
      <c r="AD14" s="308" t="s">
        <v>67</v>
      </c>
      <c r="AE14" s="117">
        <f t="shared" si="0"/>
        <v>11</v>
      </c>
      <c r="AF14" s="46">
        <f t="shared" si="18"/>
        <v>5</v>
      </c>
      <c r="AG14" s="104"/>
      <c r="AH14" s="105"/>
      <c r="AI14" s="106"/>
      <c r="AJ14" s="106"/>
      <c r="AK14" s="175">
        <f t="shared" si="1"/>
        <v>1</v>
      </c>
      <c r="AL14" s="38">
        <f t="shared" si="2"/>
        <v>1</v>
      </c>
      <c r="AM14" s="38">
        <f t="shared" si="3"/>
        <v>1</v>
      </c>
      <c r="AN14" s="38">
        <f t="shared" si="3"/>
        <v>1</v>
      </c>
      <c r="AO14" s="38">
        <f t="shared" si="4"/>
        <v>1</v>
      </c>
      <c r="AP14" s="38">
        <f t="shared" si="4"/>
        <v>1</v>
      </c>
      <c r="AQ14" s="38">
        <f t="shared" si="5"/>
        <v>1</v>
      </c>
      <c r="AR14" s="38">
        <f t="shared" si="5"/>
        <v>1</v>
      </c>
      <c r="AS14" s="143" t="s">
        <v>28</v>
      </c>
      <c r="AT14" s="17">
        <f t="shared" si="6"/>
        <v>0</v>
      </c>
      <c r="AU14" s="17">
        <f t="shared" si="7"/>
        <v>0</v>
      </c>
      <c r="AV14" s="17">
        <f t="shared" si="8"/>
        <v>0</v>
      </c>
      <c r="AW14" s="11">
        <f t="shared" si="9"/>
        <v>0</v>
      </c>
      <c r="AX14" s="11">
        <f t="shared" si="10"/>
        <v>1</v>
      </c>
      <c r="AY14" s="11">
        <f t="shared" si="11"/>
        <v>0</v>
      </c>
      <c r="AZ14" s="11">
        <f t="shared" si="12"/>
        <v>4</v>
      </c>
      <c r="BA14" s="11">
        <f t="shared" si="13"/>
        <v>1</v>
      </c>
      <c r="BB14" s="11">
        <f t="shared" si="19"/>
        <v>0</v>
      </c>
      <c r="BC14" s="11">
        <f t="shared" si="20"/>
        <v>1</v>
      </c>
      <c r="BD14" s="11">
        <f t="shared" si="14"/>
        <v>4</v>
      </c>
      <c r="BE14" s="28">
        <f t="shared" si="15"/>
        <v>11</v>
      </c>
      <c r="BF14" s="29">
        <f t="shared" si="16"/>
        <v>5</v>
      </c>
      <c r="BG14" s="11">
        <f t="shared" si="17"/>
        <v>11</v>
      </c>
    </row>
    <row r="15" spans="1:59" ht="17.25" thickBot="1">
      <c r="A15" s="169" t="s">
        <v>29</v>
      </c>
      <c r="B15" s="47"/>
      <c r="C15" s="311" t="s">
        <v>80</v>
      </c>
      <c r="D15" s="312" t="s">
        <v>82</v>
      </c>
      <c r="E15" s="313" t="s">
        <v>81</v>
      </c>
      <c r="F15" s="312" t="s">
        <v>67</v>
      </c>
      <c r="G15" s="314" t="s">
        <v>25</v>
      </c>
      <c r="H15" s="314" t="s">
        <v>12</v>
      </c>
      <c r="I15" s="315" t="s">
        <v>7</v>
      </c>
      <c r="J15" s="316" t="s">
        <v>14</v>
      </c>
      <c r="K15" s="314" t="s">
        <v>5</v>
      </c>
      <c r="L15" s="312" t="s">
        <v>67</v>
      </c>
      <c r="M15" s="312" t="s">
        <v>80</v>
      </c>
      <c r="N15" s="312" t="s">
        <v>80</v>
      </c>
      <c r="O15" s="312" t="s">
        <v>80</v>
      </c>
      <c r="P15" s="315" t="s">
        <v>7</v>
      </c>
      <c r="Q15" s="311" t="s">
        <v>82</v>
      </c>
      <c r="R15" s="312" t="s">
        <v>66</v>
      </c>
      <c r="S15" s="312" t="s">
        <v>67</v>
      </c>
      <c r="T15" s="312" t="s">
        <v>67</v>
      </c>
      <c r="U15" s="312" t="s">
        <v>67</v>
      </c>
      <c r="V15" s="312" t="s">
        <v>67</v>
      </c>
      <c r="W15" s="315" t="s">
        <v>7</v>
      </c>
      <c r="X15" s="311" t="s">
        <v>67</v>
      </c>
      <c r="Y15" s="312" t="s">
        <v>80</v>
      </c>
      <c r="Z15" s="312" t="s">
        <v>82</v>
      </c>
      <c r="AA15" s="312" t="s">
        <v>67</v>
      </c>
      <c r="AB15" s="312" t="s">
        <v>67</v>
      </c>
      <c r="AC15" s="312" t="s">
        <v>80</v>
      </c>
      <c r="AD15" s="315" t="s">
        <v>7</v>
      </c>
      <c r="AE15" s="119">
        <f t="shared" si="0"/>
        <v>11</v>
      </c>
      <c r="AF15" s="119">
        <f t="shared" si="18"/>
        <v>6</v>
      </c>
      <c r="AG15" s="104"/>
      <c r="AH15" s="105"/>
      <c r="AI15" s="106"/>
      <c r="AJ15" s="106"/>
      <c r="AK15" s="185">
        <f t="shared" si="1"/>
        <v>1</v>
      </c>
      <c r="AL15" s="53">
        <f t="shared" si="2"/>
        <v>1</v>
      </c>
      <c r="AM15" s="53">
        <f t="shared" si="3"/>
        <v>1</v>
      </c>
      <c r="AN15" s="53">
        <f t="shared" si="3"/>
        <v>1</v>
      </c>
      <c r="AO15" s="53">
        <f t="shared" si="4"/>
        <v>1</v>
      </c>
      <c r="AP15" s="53">
        <f t="shared" si="4"/>
        <v>1</v>
      </c>
      <c r="AQ15" s="53">
        <f t="shared" si="5"/>
        <v>1</v>
      </c>
      <c r="AR15" s="53">
        <f t="shared" si="5"/>
        <v>1</v>
      </c>
      <c r="AS15" s="169" t="s">
        <v>29</v>
      </c>
      <c r="AT15" s="17">
        <f t="shared" si="6"/>
        <v>0</v>
      </c>
      <c r="AU15" s="17">
        <f t="shared" si="7"/>
        <v>0</v>
      </c>
      <c r="AV15" s="17">
        <f t="shared" si="8"/>
        <v>0</v>
      </c>
      <c r="AW15" s="11">
        <f t="shared" si="9"/>
        <v>0</v>
      </c>
      <c r="AX15" s="11">
        <f t="shared" si="10"/>
        <v>1</v>
      </c>
      <c r="AY15" s="11">
        <f t="shared" si="11"/>
        <v>0</v>
      </c>
      <c r="AZ15" s="11">
        <f t="shared" si="12"/>
        <v>4</v>
      </c>
      <c r="BA15" s="11">
        <f t="shared" si="13"/>
        <v>2</v>
      </c>
      <c r="BB15" s="11">
        <f t="shared" si="19"/>
        <v>0</v>
      </c>
      <c r="BC15" s="11">
        <f t="shared" si="20"/>
        <v>0</v>
      </c>
      <c r="BD15" s="11">
        <f t="shared" si="14"/>
        <v>4</v>
      </c>
      <c r="BE15" s="28">
        <f t="shared" si="15"/>
        <v>11</v>
      </c>
      <c r="BF15" s="29">
        <f t="shared" si="16"/>
        <v>5</v>
      </c>
      <c r="BG15" s="11">
        <f t="shared" si="17"/>
        <v>11</v>
      </c>
    </row>
    <row r="16" spans="1:59">
      <c r="A16" s="245" t="s">
        <v>30</v>
      </c>
      <c r="B16" s="225"/>
      <c r="C16" s="253" t="s">
        <v>7</v>
      </c>
      <c r="D16" s="255" t="s">
        <v>91</v>
      </c>
      <c r="E16" s="317" t="s">
        <v>80</v>
      </c>
      <c r="F16" s="255" t="s">
        <v>80</v>
      </c>
      <c r="G16" s="318" t="s">
        <v>5</v>
      </c>
      <c r="H16" s="318" t="s">
        <v>82</v>
      </c>
      <c r="I16" s="319" t="s">
        <v>6</v>
      </c>
      <c r="J16" s="253" t="s">
        <v>7</v>
      </c>
      <c r="K16" s="255" t="s">
        <v>82</v>
      </c>
      <c r="L16" s="255" t="s">
        <v>82</v>
      </c>
      <c r="M16" s="320" t="s">
        <v>66</v>
      </c>
      <c r="N16" s="317" t="s">
        <v>66</v>
      </c>
      <c r="O16" s="255" t="s">
        <v>91</v>
      </c>
      <c r="P16" s="321" t="s">
        <v>81</v>
      </c>
      <c r="Q16" s="322" t="s">
        <v>7</v>
      </c>
      <c r="R16" s="317" t="s">
        <v>67</v>
      </c>
      <c r="S16" s="317" t="s">
        <v>80</v>
      </c>
      <c r="T16" s="317" t="s">
        <v>82</v>
      </c>
      <c r="U16" s="255" t="s">
        <v>82</v>
      </c>
      <c r="V16" s="255" t="s">
        <v>91</v>
      </c>
      <c r="W16" s="323" t="s">
        <v>66</v>
      </c>
      <c r="X16" s="253" t="s">
        <v>7</v>
      </c>
      <c r="Y16" s="255" t="s">
        <v>6</v>
      </c>
      <c r="Z16" s="318" t="s">
        <v>12</v>
      </c>
      <c r="AA16" s="318" t="s">
        <v>82</v>
      </c>
      <c r="AB16" s="255" t="s">
        <v>91</v>
      </c>
      <c r="AC16" s="318" t="s">
        <v>5</v>
      </c>
      <c r="AD16" s="336" t="s">
        <v>66</v>
      </c>
      <c r="AE16" s="208">
        <f t="shared" si="0"/>
        <v>14</v>
      </c>
      <c r="AF16" s="209">
        <f t="shared" si="18"/>
        <v>5</v>
      </c>
      <c r="AG16" s="107"/>
      <c r="AH16" s="108"/>
      <c r="AI16" s="109"/>
      <c r="AJ16" s="109"/>
      <c r="AK16" s="186">
        <f t="shared" si="1"/>
        <v>1</v>
      </c>
      <c r="AL16" s="59">
        <f t="shared" si="2"/>
        <v>2</v>
      </c>
      <c r="AM16" s="59">
        <f t="shared" si="3"/>
        <v>1</v>
      </c>
      <c r="AN16" s="59">
        <f t="shared" si="3"/>
        <v>2</v>
      </c>
      <c r="AO16" s="59">
        <f t="shared" si="4"/>
        <v>1</v>
      </c>
      <c r="AP16" s="59">
        <f t="shared" si="4"/>
        <v>2</v>
      </c>
      <c r="AQ16" s="59">
        <f t="shared" si="5"/>
        <v>1</v>
      </c>
      <c r="AR16" s="59">
        <f t="shared" si="5"/>
        <v>2</v>
      </c>
      <c r="AS16" s="245" t="s">
        <v>30</v>
      </c>
      <c r="AT16" s="17">
        <f t="shared" si="6"/>
        <v>0</v>
      </c>
      <c r="AU16" s="17">
        <f t="shared" si="7"/>
        <v>0</v>
      </c>
      <c r="AV16" s="17">
        <f t="shared" si="8"/>
        <v>0</v>
      </c>
      <c r="AW16" s="11">
        <f t="shared" si="9"/>
        <v>0</v>
      </c>
      <c r="AX16" s="11">
        <f t="shared" si="10"/>
        <v>1</v>
      </c>
      <c r="AY16" s="11">
        <f t="shared" si="11"/>
        <v>0</v>
      </c>
      <c r="AZ16" s="11">
        <f t="shared" si="12"/>
        <v>8</v>
      </c>
      <c r="BA16" s="11">
        <f t="shared" si="13"/>
        <v>1</v>
      </c>
      <c r="BB16" s="11">
        <f t="shared" si="19"/>
        <v>0</v>
      </c>
      <c r="BC16" s="11">
        <f t="shared" si="20"/>
        <v>0</v>
      </c>
      <c r="BD16" s="11">
        <f t="shared" si="14"/>
        <v>4</v>
      </c>
      <c r="BE16" s="28">
        <f t="shared" si="15"/>
        <v>14</v>
      </c>
      <c r="BF16" s="29">
        <f t="shared" si="16"/>
        <v>2</v>
      </c>
      <c r="BG16" s="11">
        <f t="shared" si="17"/>
        <v>14</v>
      </c>
    </row>
    <row r="17" spans="1:59">
      <c r="A17" s="144" t="s">
        <v>31</v>
      </c>
      <c r="B17" s="225"/>
      <c r="C17" s="309" t="s">
        <v>65</v>
      </c>
      <c r="D17" s="187" t="s">
        <v>67</v>
      </c>
      <c r="E17" s="256" t="s">
        <v>67</v>
      </c>
      <c r="F17" s="187" t="s">
        <v>67</v>
      </c>
      <c r="G17" s="187" t="s">
        <v>80</v>
      </c>
      <c r="H17" s="187" t="s">
        <v>80</v>
      </c>
      <c r="I17" s="308" t="s">
        <v>82</v>
      </c>
      <c r="J17" s="309" t="s">
        <v>65</v>
      </c>
      <c r="K17" s="187" t="s">
        <v>66</v>
      </c>
      <c r="L17" s="256" t="s">
        <v>67</v>
      </c>
      <c r="M17" s="256" t="s">
        <v>67</v>
      </c>
      <c r="N17" s="256" t="s">
        <v>82</v>
      </c>
      <c r="O17" s="256" t="s">
        <v>81</v>
      </c>
      <c r="P17" s="324" t="s">
        <v>80</v>
      </c>
      <c r="Q17" s="325" t="s">
        <v>65</v>
      </c>
      <c r="R17" s="256" t="s">
        <v>67</v>
      </c>
      <c r="S17" s="256" t="s">
        <v>82</v>
      </c>
      <c r="T17" s="256" t="s">
        <v>67</v>
      </c>
      <c r="U17" s="256" t="s">
        <v>80</v>
      </c>
      <c r="V17" s="256" t="s">
        <v>80</v>
      </c>
      <c r="W17" s="324" t="s">
        <v>80</v>
      </c>
      <c r="X17" s="309" t="s">
        <v>65</v>
      </c>
      <c r="Y17" s="187" t="s">
        <v>84</v>
      </c>
      <c r="Z17" s="187" t="s">
        <v>67</v>
      </c>
      <c r="AA17" s="187" t="s">
        <v>67</v>
      </c>
      <c r="AB17" s="187" t="s">
        <v>67</v>
      </c>
      <c r="AC17" s="187" t="s">
        <v>81</v>
      </c>
      <c r="AD17" s="340" t="s">
        <v>5</v>
      </c>
      <c r="AE17" s="199">
        <f t="shared" ref="AE17" si="21">SUM(AT17:BD17)</f>
        <v>11</v>
      </c>
      <c r="AF17" s="200">
        <f t="shared" si="18"/>
        <v>6</v>
      </c>
      <c r="AG17" s="107"/>
      <c r="AH17" s="108"/>
      <c r="AI17" s="109"/>
      <c r="AJ17" s="109"/>
      <c r="AK17" s="184">
        <f t="shared" si="1"/>
        <v>1</v>
      </c>
      <c r="AL17" s="183">
        <f t="shared" si="2"/>
        <v>1</v>
      </c>
      <c r="AM17" s="183">
        <f t="shared" si="3"/>
        <v>1</v>
      </c>
      <c r="AN17" s="183">
        <f t="shared" si="3"/>
        <v>1</v>
      </c>
      <c r="AO17" s="183">
        <f t="shared" si="4"/>
        <v>1</v>
      </c>
      <c r="AP17" s="183">
        <f t="shared" si="4"/>
        <v>1</v>
      </c>
      <c r="AQ17" s="183">
        <f t="shared" si="5"/>
        <v>1</v>
      </c>
      <c r="AR17" s="183">
        <f t="shared" si="5"/>
        <v>1</v>
      </c>
      <c r="AS17" s="144" t="s">
        <v>31</v>
      </c>
      <c r="AT17" s="17">
        <f t="shared" si="6"/>
        <v>1</v>
      </c>
      <c r="AU17" s="17">
        <f t="shared" si="7"/>
        <v>0</v>
      </c>
      <c r="AV17" s="17">
        <f t="shared" si="8"/>
        <v>0</v>
      </c>
      <c r="AW17" s="11">
        <f t="shared" si="9"/>
        <v>0</v>
      </c>
      <c r="AX17" s="11">
        <f t="shared" si="10"/>
        <v>0</v>
      </c>
      <c r="AY17" s="11">
        <f t="shared" si="11"/>
        <v>0</v>
      </c>
      <c r="AZ17" s="11">
        <f t="shared" si="12"/>
        <v>4</v>
      </c>
      <c r="BA17" s="11">
        <f t="shared" si="13"/>
        <v>2</v>
      </c>
      <c r="BB17" s="11">
        <f t="shared" si="19"/>
        <v>0</v>
      </c>
      <c r="BC17" s="11">
        <f t="shared" si="20"/>
        <v>0</v>
      </c>
      <c r="BD17" s="11">
        <f t="shared" si="14"/>
        <v>4</v>
      </c>
      <c r="BE17" s="28">
        <f t="shared" si="15"/>
        <v>10</v>
      </c>
      <c r="BF17" s="29">
        <f t="shared" si="16"/>
        <v>4</v>
      </c>
      <c r="BG17" s="11">
        <f t="shared" si="17"/>
        <v>10</v>
      </c>
    </row>
    <row r="18" spans="1:59">
      <c r="A18" s="144" t="s">
        <v>32</v>
      </c>
      <c r="B18" s="225"/>
      <c r="C18" s="309" t="s">
        <v>82</v>
      </c>
      <c r="D18" s="326" t="s">
        <v>66</v>
      </c>
      <c r="E18" s="326" t="s">
        <v>66</v>
      </c>
      <c r="F18" s="258" t="s">
        <v>67</v>
      </c>
      <c r="G18" s="258" t="s">
        <v>67</v>
      </c>
      <c r="H18" s="187" t="s">
        <v>67</v>
      </c>
      <c r="I18" s="308" t="s">
        <v>65</v>
      </c>
      <c r="J18" s="309" t="s">
        <v>67</v>
      </c>
      <c r="K18" s="187" t="s">
        <v>67</v>
      </c>
      <c r="L18" s="187" t="s">
        <v>82</v>
      </c>
      <c r="M18" s="258" t="s">
        <v>67</v>
      </c>
      <c r="N18" s="258" t="s">
        <v>14</v>
      </c>
      <c r="O18" s="256" t="s">
        <v>66</v>
      </c>
      <c r="P18" s="308" t="s">
        <v>65</v>
      </c>
      <c r="Q18" s="252" t="s">
        <v>5</v>
      </c>
      <c r="R18" s="258" t="s">
        <v>12</v>
      </c>
      <c r="S18" s="256" t="s">
        <v>67</v>
      </c>
      <c r="T18" s="258" t="s">
        <v>80</v>
      </c>
      <c r="U18" s="258" t="s">
        <v>80</v>
      </c>
      <c r="V18" s="187" t="s">
        <v>80</v>
      </c>
      <c r="W18" s="308" t="s">
        <v>65</v>
      </c>
      <c r="X18" s="309" t="s">
        <v>89</v>
      </c>
      <c r="Y18" s="187" t="s">
        <v>66</v>
      </c>
      <c r="Z18" s="187" t="s">
        <v>66</v>
      </c>
      <c r="AA18" s="258" t="s">
        <v>67</v>
      </c>
      <c r="AB18" s="258" t="s">
        <v>14</v>
      </c>
      <c r="AC18" s="187" t="s">
        <v>66</v>
      </c>
      <c r="AD18" s="339" t="s">
        <v>65</v>
      </c>
      <c r="AE18" s="197">
        <f t="shared" si="0"/>
        <v>11</v>
      </c>
      <c r="AF18" s="198">
        <f t="shared" si="18"/>
        <v>3</v>
      </c>
      <c r="AG18" s="104"/>
      <c r="AH18" s="105"/>
      <c r="AI18" s="106"/>
      <c r="AJ18" s="106"/>
      <c r="AK18" s="175">
        <f t="shared" si="1"/>
        <v>1</v>
      </c>
      <c r="AL18" s="38">
        <f t="shared" si="2"/>
        <v>1</v>
      </c>
      <c r="AM18" s="38">
        <f t="shared" si="3"/>
        <v>1</v>
      </c>
      <c r="AN18" s="38">
        <f t="shared" si="3"/>
        <v>1</v>
      </c>
      <c r="AO18" s="38">
        <f t="shared" si="4"/>
        <v>1</v>
      </c>
      <c r="AP18" s="38">
        <f>COUNTIF($Q18:$W18,AP$6)</f>
        <v>1</v>
      </c>
      <c r="AQ18" s="38">
        <f t="shared" si="5"/>
        <v>1</v>
      </c>
      <c r="AR18" s="38">
        <f t="shared" si="5"/>
        <v>1</v>
      </c>
      <c r="AS18" s="144" t="s">
        <v>32</v>
      </c>
      <c r="AT18" s="17">
        <f t="shared" si="6"/>
        <v>0</v>
      </c>
      <c r="AU18" s="17">
        <f t="shared" si="7"/>
        <v>0</v>
      </c>
      <c r="AV18" s="17">
        <f t="shared" si="8"/>
        <v>0</v>
      </c>
      <c r="AW18" s="11">
        <f t="shared" si="9"/>
        <v>0</v>
      </c>
      <c r="AX18" s="11">
        <f t="shared" si="10"/>
        <v>1</v>
      </c>
      <c r="AY18" s="11">
        <f t="shared" si="11"/>
        <v>0</v>
      </c>
      <c r="AZ18" s="11">
        <f t="shared" si="12"/>
        <v>4</v>
      </c>
      <c r="BA18" s="11">
        <f t="shared" si="13"/>
        <v>2</v>
      </c>
      <c r="BB18" s="11">
        <f t="shared" si="19"/>
        <v>0</v>
      </c>
      <c r="BC18" s="11">
        <f t="shared" si="20"/>
        <v>0</v>
      </c>
      <c r="BD18" s="11">
        <f t="shared" si="14"/>
        <v>4</v>
      </c>
      <c r="BE18" s="28">
        <f t="shared" si="15"/>
        <v>11</v>
      </c>
      <c r="BF18" s="29">
        <f t="shared" si="16"/>
        <v>3</v>
      </c>
      <c r="BG18" s="11">
        <f t="shared" si="17"/>
        <v>11</v>
      </c>
    </row>
    <row r="19" spans="1:59">
      <c r="A19" s="144" t="s">
        <v>33</v>
      </c>
      <c r="B19" s="226"/>
      <c r="C19" s="309" t="s">
        <v>82</v>
      </c>
      <c r="D19" s="258" t="s">
        <v>67</v>
      </c>
      <c r="E19" s="187" t="s">
        <v>67</v>
      </c>
      <c r="F19" s="187" t="s">
        <v>67</v>
      </c>
      <c r="G19" s="187" t="s">
        <v>80</v>
      </c>
      <c r="H19" s="187" t="s">
        <v>7</v>
      </c>
      <c r="I19" s="308" t="s">
        <v>67</v>
      </c>
      <c r="J19" s="309" t="s">
        <v>67</v>
      </c>
      <c r="K19" s="258" t="s">
        <v>67</v>
      </c>
      <c r="L19" s="258" t="s">
        <v>5</v>
      </c>
      <c r="M19" s="258" t="s">
        <v>12</v>
      </c>
      <c r="N19" s="258" t="s">
        <v>67</v>
      </c>
      <c r="O19" s="187" t="s">
        <v>7</v>
      </c>
      <c r="P19" s="308" t="s">
        <v>66</v>
      </c>
      <c r="Q19" s="309" t="s">
        <v>66</v>
      </c>
      <c r="R19" s="187" t="s">
        <v>80</v>
      </c>
      <c r="S19" s="187" t="s">
        <v>80</v>
      </c>
      <c r="T19" s="187" t="s">
        <v>80</v>
      </c>
      <c r="U19" s="258" t="s">
        <v>14</v>
      </c>
      <c r="V19" s="187" t="s">
        <v>7</v>
      </c>
      <c r="W19" s="310" t="s">
        <v>5</v>
      </c>
      <c r="X19" s="252" t="s">
        <v>14</v>
      </c>
      <c r="Y19" s="258" t="s">
        <v>67</v>
      </c>
      <c r="Z19" s="187" t="s">
        <v>67</v>
      </c>
      <c r="AA19" s="187" t="s">
        <v>67</v>
      </c>
      <c r="AB19" s="258" t="s">
        <v>67</v>
      </c>
      <c r="AC19" s="187" t="s">
        <v>7</v>
      </c>
      <c r="AD19" s="340" t="s">
        <v>5</v>
      </c>
      <c r="AE19" s="199">
        <f t="shared" si="0"/>
        <v>11</v>
      </c>
      <c r="AF19" s="198">
        <f t="shared" si="18"/>
        <v>4</v>
      </c>
      <c r="AG19" s="104"/>
      <c r="AH19" s="105"/>
      <c r="AI19" s="106"/>
      <c r="AJ19" s="106"/>
      <c r="AK19" s="175">
        <f t="shared" si="1"/>
        <v>1</v>
      </c>
      <c r="AL19" s="38">
        <f t="shared" si="2"/>
        <v>1</v>
      </c>
      <c r="AM19" s="38">
        <f t="shared" si="3"/>
        <v>1</v>
      </c>
      <c r="AN19" s="38">
        <f t="shared" si="3"/>
        <v>1</v>
      </c>
      <c r="AO19" s="38">
        <f t="shared" si="4"/>
        <v>1</v>
      </c>
      <c r="AP19" s="38">
        <f t="shared" si="4"/>
        <v>1</v>
      </c>
      <c r="AQ19" s="38">
        <f t="shared" si="5"/>
        <v>1</v>
      </c>
      <c r="AR19" s="38">
        <f t="shared" si="5"/>
        <v>1</v>
      </c>
      <c r="AS19" s="144" t="s">
        <v>33</v>
      </c>
      <c r="AT19" s="17">
        <f t="shared" si="6"/>
        <v>0</v>
      </c>
      <c r="AU19" s="17">
        <f t="shared" si="7"/>
        <v>0</v>
      </c>
      <c r="AV19" s="17">
        <f t="shared" si="8"/>
        <v>0</v>
      </c>
      <c r="AW19" s="11">
        <f t="shared" si="9"/>
        <v>0</v>
      </c>
      <c r="AX19" s="11">
        <f t="shared" si="10"/>
        <v>1</v>
      </c>
      <c r="AY19" s="11">
        <f t="shared" si="11"/>
        <v>0</v>
      </c>
      <c r="AZ19" s="11">
        <f t="shared" si="12"/>
        <v>4</v>
      </c>
      <c r="BA19" s="11">
        <f t="shared" si="13"/>
        <v>2</v>
      </c>
      <c r="BB19" s="11">
        <f t="shared" si="19"/>
        <v>0</v>
      </c>
      <c r="BC19" s="11">
        <f t="shared" si="20"/>
        <v>0</v>
      </c>
      <c r="BD19" s="11">
        <f t="shared" si="14"/>
        <v>4</v>
      </c>
      <c r="BE19" s="28">
        <f t="shared" si="15"/>
        <v>11</v>
      </c>
      <c r="BF19" s="29">
        <f t="shared" si="16"/>
        <v>3</v>
      </c>
      <c r="BG19" s="11">
        <f t="shared" si="17"/>
        <v>11</v>
      </c>
    </row>
    <row r="20" spans="1:59">
      <c r="A20" s="144" t="s">
        <v>71</v>
      </c>
      <c r="B20" s="225"/>
      <c r="C20" s="309" t="s">
        <v>80</v>
      </c>
      <c r="D20" s="187" t="s">
        <v>82</v>
      </c>
      <c r="E20" s="187" t="s">
        <v>65</v>
      </c>
      <c r="F20" s="258" t="s">
        <v>14</v>
      </c>
      <c r="G20" s="258" t="s">
        <v>67</v>
      </c>
      <c r="H20" s="187" t="s">
        <v>67</v>
      </c>
      <c r="I20" s="308" t="s">
        <v>80</v>
      </c>
      <c r="J20" s="309" t="s">
        <v>80</v>
      </c>
      <c r="K20" s="187" t="s">
        <v>80</v>
      </c>
      <c r="L20" s="187" t="s">
        <v>65</v>
      </c>
      <c r="M20" s="258" t="s">
        <v>5</v>
      </c>
      <c r="N20" s="258" t="s">
        <v>67</v>
      </c>
      <c r="O20" s="187" t="s">
        <v>67</v>
      </c>
      <c r="P20" s="308" t="s">
        <v>67</v>
      </c>
      <c r="Q20" s="309" t="s">
        <v>67</v>
      </c>
      <c r="R20" s="187" t="s">
        <v>67</v>
      </c>
      <c r="S20" s="187" t="s">
        <v>65</v>
      </c>
      <c r="T20" s="258" t="s">
        <v>67</v>
      </c>
      <c r="U20" s="258" t="s">
        <v>67</v>
      </c>
      <c r="V20" s="258" t="s">
        <v>67</v>
      </c>
      <c r="W20" s="310" t="s">
        <v>82</v>
      </c>
      <c r="X20" s="258" t="s">
        <v>12</v>
      </c>
      <c r="Y20" s="187" t="s">
        <v>67</v>
      </c>
      <c r="Z20" s="187" t="s">
        <v>65</v>
      </c>
      <c r="AA20" s="258" t="s">
        <v>80</v>
      </c>
      <c r="AB20" s="258" t="s">
        <v>80</v>
      </c>
      <c r="AC20" s="187" t="s">
        <v>84</v>
      </c>
      <c r="AD20" s="339" t="s">
        <v>82</v>
      </c>
      <c r="AE20" s="197">
        <f t="shared" si="0"/>
        <v>11</v>
      </c>
      <c r="AF20" s="198">
        <f t="shared" si="18"/>
        <v>6</v>
      </c>
      <c r="AG20" s="104"/>
      <c r="AH20" s="105"/>
      <c r="AI20" s="106"/>
      <c r="AJ20" s="106"/>
      <c r="AK20" s="175">
        <f t="shared" si="1"/>
        <v>1</v>
      </c>
      <c r="AL20" s="38">
        <f t="shared" si="2"/>
        <v>1</v>
      </c>
      <c r="AM20" s="38">
        <f t="shared" si="3"/>
        <v>1</v>
      </c>
      <c r="AN20" s="38">
        <f t="shared" si="3"/>
        <v>1</v>
      </c>
      <c r="AO20" s="38">
        <f t="shared" si="4"/>
        <v>1</v>
      </c>
      <c r="AP20" s="38">
        <f t="shared" si="4"/>
        <v>1</v>
      </c>
      <c r="AQ20" s="38">
        <f t="shared" si="5"/>
        <v>1</v>
      </c>
      <c r="AR20" s="38">
        <f t="shared" si="5"/>
        <v>1</v>
      </c>
      <c r="AS20" s="144" t="s">
        <v>71</v>
      </c>
      <c r="AT20" s="17">
        <f t="shared" si="6"/>
        <v>1</v>
      </c>
      <c r="AU20" s="17">
        <f t="shared" si="7"/>
        <v>0</v>
      </c>
      <c r="AV20" s="17">
        <f t="shared" si="8"/>
        <v>0</v>
      </c>
      <c r="AW20" s="11">
        <f t="shared" si="9"/>
        <v>0</v>
      </c>
      <c r="AX20" s="11">
        <f t="shared" si="10"/>
        <v>1</v>
      </c>
      <c r="AY20" s="11">
        <f t="shared" si="11"/>
        <v>0</v>
      </c>
      <c r="AZ20" s="11">
        <f t="shared" si="12"/>
        <v>4</v>
      </c>
      <c r="BA20" s="11">
        <f t="shared" si="13"/>
        <v>1</v>
      </c>
      <c r="BB20" s="11">
        <f t="shared" si="19"/>
        <v>0</v>
      </c>
      <c r="BC20" s="11">
        <f t="shared" si="20"/>
        <v>0</v>
      </c>
      <c r="BD20" s="11">
        <f t="shared" si="14"/>
        <v>4</v>
      </c>
      <c r="BE20" s="28">
        <f t="shared" si="15"/>
        <v>10</v>
      </c>
      <c r="BF20" s="29">
        <f t="shared" si="16"/>
        <v>4</v>
      </c>
      <c r="BG20" s="11">
        <f t="shared" si="17"/>
        <v>10</v>
      </c>
    </row>
    <row r="21" spans="1:59">
      <c r="A21" s="144" t="s">
        <v>34</v>
      </c>
      <c r="B21" s="227"/>
      <c r="C21" s="309" t="s">
        <v>67</v>
      </c>
      <c r="D21" s="187" t="s">
        <v>67</v>
      </c>
      <c r="E21" s="187" t="s">
        <v>67</v>
      </c>
      <c r="F21" s="187" t="s">
        <v>7</v>
      </c>
      <c r="G21" s="326" t="s">
        <v>66</v>
      </c>
      <c r="H21" s="258" t="s">
        <v>6</v>
      </c>
      <c r="I21" s="310" t="s">
        <v>5</v>
      </c>
      <c r="J21" s="252" t="s">
        <v>14</v>
      </c>
      <c r="K21" s="258" t="s">
        <v>6</v>
      </c>
      <c r="L21" s="187" t="s">
        <v>80</v>
      </c>
      <c r="M21" s="187" t="s">
        <v>7</v>
      </c>
      <c r="N21" s="187" t="s">
        <v>82</v>
      </c>
      <c r="O21" s="187" t="s">
        <v>66</v>
      </c>
      <c r="P21" s="308" t="s">
        <v>66</v>
      </c>
      <c r="Q21" s="325" t="s">
        <v>66</v>
      </c>
      <c r="R21" s="256" t="s">
        <v>67</v>
      </c>
      <c r="S21" s="256" t="s">
        <v>67</v>
      </c>
      <c r="T21" s="256" t="s">
        <v>7</v>
      </c>
      <c r="U21" s="256" t="s">
        <v>82</v>
      </c>
      <c r="V21" s="256" t="s">
        <v>66</v>
      </c>
      <c r="W21" s="308" t="s">
        <v>66</v>
      </c>
      <c r="X21" s="252" t="s">
        <v>14</v>
      </c>
      <c r="Y21" s="258" t="s">
        <v>5</v>
      </c>
      <c r="Z21" s="258" t="s">
        <v>12</v>
      </c>
      <c r="AA21" s="187" t="s">
        <v>7</v>
      </c>
      <c r="AB21" s="187" t="s">
        <v>67</v>
      </c>
      <c r="AC21" s="187" t="s">
        <v>80</v>
      </c>
      <c r="AD21" s="339" t="s">
        <v>80</v>
      </c>
      <c r="AE21" s="197">
        <f t="shared" si="0"/>
        <v>11</v>
      </c>
      <c r="AF21" s="198">
        <f t="shared" si="18"/>
        <v>5</v>
      </c>
      <c r="AG21" s="104"/>
      <c r="AH21" s="105"/>
      <c r="AI21" s="106"/>
      <c r="AJ21" s="106"/>
      <c r="AK21" s="175">
        <f t="shared" si="1"/>
        <v>1</v>
      </c>
      <c r="AL21" s="38">
        <f t="shared" si="2"/>
        <v>1</v>
      </c>
      <c r="AM21" s="38">
        <f t="shared" si="3"/>
        <v>1</v>
      </c>
      <c r="AN21" s="38">
        <f t="shared" si="3"/>
        <v>1</v>
      </c>
      <c r="AO21" s="38">
        <f t="shared" si="4"/>
        <v>1</v>
      </c>
      <c r="AP21" s="38">
        <f t="shared" si="4"/>
        <v>1</v>
      </c>
      <c r="AQ21" s="38">
        <f t="shared" si="5"/>
        <v>1</v>
      </c>
      <c r="AR21" s="38">
        <f t="shared" si="5"/>
        <v>1</v>
      </c>
      <c r="AS21" s="144" t="s">
        <v>34</v>
      </c>
      <c r="AT21" s="17">
        <f t="shared" si="6"/>
        <v>0</v>
      </c>
      <c r="AU21" s="17">
        <f t="shared" si="7"/>
        <v>0</v>
      </c>
      <c r="AV21" s="17">
        <f t="shared" si="8"/>
        <v>0</v>
      </c>
      <c r="AW21" s="11">
        <f t="shared" si="9"/>
        <v>0</v>
      </c>
      <c r="AX21" s="11">
        <f t="shared" si="10"/>
        <v>1</v>
      </c>
      <c r="AY21" s="11">
        <f t="shared" si="11"/>
        <v>0</v>
      </c>
      <c r="AZ21" s="11">
        <f t="shared" si="12"/>
        <v>4</v>
      </c>
      <c r="BA21" s="11">
        <f t="shared" si="13"/>
        <v>2</v>
      </c>
      <c r="BB21" s="11">
        <f t="shared" si="19"/>
        <v>0</v>
      </c>
      <c r="BC21" s="11">
        <f t="shared" si="20"/>
        <v>0</v>
      </c>
      <c r="BD21" s="11">
        <f t="shared" si="14"/>
        <v>4</v>
      </c>
      <c r="BE21" s="28">
        <f t="shared" si="15"/>
        <v>11</v>
      </c>
      <c r="BF21" s="29">
        <f t="shared" si="16"/>
        <v>4</v>
      </c>
      <c r="BG21" s="11">
        <f t="shared" si="17"/>
        <v>11</v>
      </c>
    </row>
    <row r="22" spans="1:59">
      <c r="A22" s="246" t="s">
        <v>35</v>
      </c>
      <c r="B22" s="167"/>
      <c r="C22" s="252" t="s">
        <v>5</v>
      </c>
      <c r="D22" s="187" t="s">
        <v>7</v>
      </c>
      <c r="E22" s="187" t="s">
        <v>82</v>
      </c>
      <c r="F22" s="187" t="s">
        <v>66</v>
      </c>
      <c r="G22" s="187" t="s">
        <v>67</v>
      </c>
      <c r="H22" s="187" t="s">
        <v>67</v>
      </c>
      <c r="I22" s="308" t="s">
        <v>67</v>
      </c>
      <c r="J22" s="309" t="s">
        <v>82</v>
      </c>
      <c r="K22" s="187" t="s">
        <v>7</v>
      </c>
      <c r="L22" s="258" t="s">
        <v>12</v>
      </c>
      <c r="M22" s="258" t="s">
        <v>6</v>
      </c>
      <c r="N22" s="187" t="s">
        <v>80</v>
      </c>
      <c r="O22" s="187" t="s">
        <v>80</v>
      </c>
      <c r="P22" s="308" t="s">
        <v>82</v>
      </c>
      <c r="Q22" s="309" t="s">
        <v>82</v>
      </c>
      <c r="R22" s="187" t="s">
        <v>7</v>
      </c>
      <c r="S22" s="187" t="s">
        <v>66</v>
      </c>
      <c r="T22" s="187" t="s">
        <v>66</v>
      </c>
      <c r="U22" s="256" t="s">
        <v>67</v>
      </c>
      <c r="V22" s="187" t="s">
        <v>82</v>
      </c>
      <c r="W22" s="308" t="s">
        <v>80</v>
      </c>
      <c r="X22" s="252" t="s">
        <v>6</v>
      </c>
      <c r="Y22" s="187" t="s">
        <v>7</v>
      </c>
      <c r="Z22" s="258" t="s">
        <v>90</v>
      </c>
      <c r="AA22" s="258" t="s">
        <v>5</v>
      </c>
      <c r="AB22" s="258" t="s">
        <v>5</v>
      </c>
      <c r="AC22" s="187" t="s">
        <v>67</v>
      </c>
      <c r="AD22" s="339" t="s">
        <v>67</v>
      </c>
      <c r="AE22" s="197">
        <f t="shared" si="0"/>
        <v>14</v>
      </c>
      <c r="AF22" s="198">
        <f>COUNTIF(C22:AD22,"N")</f>
        <v>5</v>
      </c>
      <c r="AG22" s="104"/>
      <c r="AH22" s="105"/>
      <c r="AI22" s="106"/>
      <c r="AJ22" s="106"/>
      <c r="AK22" s="175">
        <f t="shared" si="1"/>
        <v>1</v>
      </c>
      <c r="AL22" s="38">
        <f t="shared" si="2"/>
        <v>2</v>
      </c>
      <c r="AM22" s="38">
        <f t="shared" si="3"/>
        <v>1</v>
      </c>
      <c r="AN22" s="38">
        <f t="shared" si="3"/>
        <v>2</v>
      </c>
      <c r="AO22" s="38">
        <f t="shared" si="4"/>
        <v>1</v>
      </c>
      <c r="AP22" s="38">
        <f t="shared" si="4"/>
        <v>2</v>
      </c>
      <c r="AQ22" s="38">
        <f t="shared" si="5"/>
        <v>1</v>
      </c>
      <c r="AR22" s="38">
        <f t="shared" si="5"/>
        <v>2</v>
      </c>
      <c r="AS22" s="246" t="s">
        <v>35</v>
      </c>
      <c r="AT22" s="17">
        <f t="shared" si="6"/>
        <v>0</v>
      </c>
      <c r="AU22" s="17">
        <f t="shared" si="7"/>
        <v>0</v>
      </c>
      <c r="AV22" s="17">
        <f t="shared" si="8"/>
        <v>0</v>
      </c>
      <c r="AW22" s="11">
        <f t="shared" si="9"/>
        <v>0</v>
      </c>
      <c r="AX22" s="11">
        <f t="shared" si="10"/>
        <v>1</v>
      </c>
      <c r="AY22" s="11">
        <f t="shared" si="11"/>
        <v>0</v>
      </c>
      <c r="AZ22" s="11">
        <f t="shared" si="12"/>
        <v>8</v>
      </c>
      <c r="BA22" s="11">
        <f t="shared" si="13"/>
        <v>0</v>
      </c>
      <c r="BB22" s="11">
        <f t="shared" si="19"/>
        <v>0</v>
      </c>
      <c r="BC22" s="11">
        <f t="shared" si="20"/>
        <v>1</v>
      </c>
      <c r="BD22" s="11">
        <f t="shared" si="14"/>
        <v>4</v>
      </c>
      <c r="BE22" s="28">
        <f t="shared" si="15"/>
        <v>14</v>
      </c>
      <c r="BF22" s="29">
        <f t="shared" si="16"/>
        <v>5</v>
      </c>
      <c r="BG22" s="11">
        <f t="shared" si="17"/>
        <v>14</v>
      </c>
    </row>
    <row r="23" spans="1:59">
      <c r="A23" s="144" t="s">
        <v>72</v>
      </c>
      <c r="B23" s="226"/>
      <c r="C23" s="252" t="s">
        <v>5</v>
      </c>
      <c r="D23" s="187" t="s">
        <v>66</v>
      </c>
      <c r="E23" s="187" t="s">
        <v>66</v>
      </c>
      <c r="F23" s="187" t="s">
        <v>66</v>
      </c>
      <c r="G23" s="187" t="s">
        <v>65</v>
      </c>
      <c r="H23" s="326" t="s">
        <v>66</v>
      </c>
      <c r="I23" s="310" t="s">
        <v>8</v>
      </c>
      <c r="J23" s="252" t="s">
        <v>6</v>
      </c>
      <c r="K23" s="187" t="s">
        <v>80</v>
      </c>
      <c r="L23" s="187" t="s">
        <v>80</v>
      </c>
      <c r="M23" s="187" t="s">
        <v>82</v>
      </c>
      <c r="N23" s="256" t="s">
        <v>65</v>
      </c>
      <c r="O23" s="256" t="s">
        <v>67</v>
      </c>
      <c r="P23" s="324" t="s">
        <v>67</v>
      </c>
      <c r="Q23" s="325" t="s">
        <v>80</v>
      </c>
      <c r="R23" s="256" t="s">
        <v>80</v>
      </c>
      <c r="S23" s="256" t="s">
        <v>82</v>
      </c>
      <c r="T23" s="256" t="s">
        <v>81</v>
      </c>
      <c r="U23" s="256" t="s">
        <v>65</v>
      </c>
      <c r="V23" s="256" t="s">
        <v>66</v>
      </c>
      <c r="W23" s="324" t="s">
        <v>66</v>
      </c>
      <c r="X23" s="325" t="s">
        <v>66</v>
      </c>
      <c r="Y23" s="256" t="s">
        <v>66</v>
      </c>
      <c r="Z23" s="256" t="s">
        <v>66</v>
      </c>
      <c r="AA23" s="256" t="s">
        <v>80</v>
      </c>
      <c r="AB23" s="187" t="s">
        <v>65</v>
      </c>
      <c r="AC23" s="258" t="s">
        <v>92</v>
      </c>
      <c r="AD23" s="340" t="s">
        <v>5</v>
      </c>
      <c r="AE23" s="197">
        <f t="shared" si="0"/>
        <v>11</v>
      </c>
      <c r="AF23" s="198">
        <f t="shared" si="18"/>
        <v>6</v>
      </c>
      <c r="AG23" s="104"/>
      <c r="AH23" s="105"/>
      <c r="AI23" s="106"/>
      <c r="AJ23" s="106"/>
      <c r="AK23" s="175">
        <f t="shared" si="1"/>
        <v>1</v>
      </c>
      <c r="AL23" s="38">
        <f t="shared" si="2"/>
        <v>1</v>
      </c>
      <c r="AM23" s="38">
        <f t="shared" si="3"/>
        <v>1</v>
      </c>
      <c r="AN23" s="38">
        <f t="shared" si="3"/>
        <v>1</v>
      </c>
      <c r="AO23" s="38">
        <f t="shared" si="4"/>
        <v>1</v>
      </c>
      <c r="AP23" s="38">
        <f t="shared" si="4"/>
        <v>1</v>
      </c>
      <c r="AQ23" s="38">
        <f t="shared" si="5"/>
        <v>1</v>
      </c>
      <c r="AR23" s="38">
        <f t="shared" si="5"/>
        <v>1</v>
      </c>
      <c r="AS23" s="144" t="s">
        <v>72</v>
      </c>
      <c r="AT23" s="17">
        <f t="shared" si="6"/>
        <v>1</v>
      </c>
      <c r="AU23" s="17">
        <f t="shared" si="7"/>
        <v>0</v>
      </c>
      <c r="AV23" s="17">
        <f t="shared" si="8"/>
        <v>0</v>
      </c>
      <c r="AW23" s="11">
        <f t="shared" si="9"/>
        <v>0</v>
      </c>
      <c r="AX23" s="11">
        <f t="shared" si="10"/>
        <v>0</v>
      </c>
      <c r="AY23" s="11">
        <f t="shared" si="11"/>
        <v>0</v>
      </c>
      <c r="AZ23" s="11">
        <f t="shared" si="12"/>
        <v>4</v>
      </c>
      <c r="BA23" s="11">
        <f t="shared" si="13"/>
        <v>1</v>
      </c>
      <c r="BB23" s="11">
        <f t="shared" si="19"/>
        <v>0</v>
      </c>
      <c r="BC23" s="11">
        <f t="shared" si="20"/>
        <v>1</v>
      </c>
      <c r="BD23" s="11">
        <f t="shared" si="14"/>
        <v>4</v>
      </c>
      <c r="BE23" s="28">
        <f t="shared" si="15"/>
        <v>10</v>
      </c>
      <c r="BF23" s="29">
        <f t="shared" si="16"/>
        <v>6</v>
      </c>
      <c r="BG23" s="11">
        <f t="shared" si="17"/>
        <v>10</v>
      </c>
    </row>
    <row r="24" spans="1:59">
      <c r="A24" s="144" t="s">
        <v>73</v>
      </c>
      <c r="B24" s="227"/>
      <c r="C24" s="252" t="s">
        <v>5</v>
      </c>
      <c r="D24" s="187" t="s">
        <v>84</v>
      </c>
      <c r="E24" s="187" t="s">
        <v>66</v>
      </c>
      <c r="F24" s="187" t="s">
        <v>67</v>
      </c>
      <c r="G24" s="187" t="s">
        <v>67</v>
      </c>
      <c r="H24" s="187" t="s">
        <v>65</v>
      </c>
      <c r="I24" s="308" t="s">
        <v>66</v>
      </c>
      <c r="J24" s="309" t="s">
        <v>66</v>
      </c>
      <c r="K24" s="326" t="s">
        <v>66</v>
      </c>
      <c r="L24" s="187" t="s">
        <v>67</v>
      </c>
      <c r="M24" s="187" t="s">
        <v>67</v>
      </c>
      <c r="N24" s="187" t="s">
        <v>82</v>
      </c>
      <c r="O24" s="187" t="s">
        <v>65</v>
      </c>
      <c r="P24" s="310" t="s">
        <v>67</v>
      </c>
      <c r="Q24" s="325" t="s">
        <v>80</v>
      </c>
      <c r="R24" s="256" t="s">
        <v>80</v>
      </c>
      <c r="S24" s="256" t="s">
        <v>80</v>
      </c>
      <c r="T24" s="256" t="s">
        <v>81</v>
      </c>
      <c r="U24" s="258" t="s">
        <v>5</v>
      </c>
      <c r="V24" s="187" t="s">
        <v>65</v>
      </c>
      <c r="W24" s="308" t="s">
        <v>69</v>
      </c>
      <c r="X24" s="325" t="s">
        <v>66</v>
      </c>
      <c r="Y24" s="256" t="s">
        <v>25</v>
      </c>
      <c r="Z24" s="256" t="s">
        <v>6</v>
      </c>
      <c r="AA24" s="187" t="s">
        <v>80</v>
      </c>
      <c r="AB24" s="187" t="s">
        <v>80</v>
      </c>
      <c r="AC24" s="187" t="s">
        <v>65</v>
      </c>
      <c r="AD24" s="339" t="s">
        <v>82</v>
      </c>
      <c r="AE24" s="197">
        <f t="shared" si="0"/>
        <v>11</v>
      </c>
      <c r="AF24" s="198">
        <f t="shared" si="18"/>
        <v>6</v>
      </c>
      <c r="AG24" s="104"/>
      <c r="AH24" s="105"/>
      <c r="AI24" s="106"/>
      <c r="AJ24" s="106"/>
      <c r="AK24" s="175">
        <f t="shared" si="1"/>
        <v>1</v>
      </c>
      <c r="AL24" s="38">
        <f t="shared" si="2"/>
        <v>1</v>
      </c>
      <c r="AM24" s="38">
        <f t="shared" ref="AM24:AN38" si="22">COUNTIF($J24:$P24,AM$6)</f>
        <v>1</v>
      </c>
      <c r="AN24" s="38">
        <f t="shared" si="22"/>
        <v>1</v>
      </c>
      <c r="AO24" s="38">
        <f t="shared" ref="AO24:AP38" si="23">COUNTIF($Q24:$W24,AO$6)</f>
        <v>1</v>
      </c>
      <c r="AP24" s="38">
        <f t="shared" si="23"/>
        <v>1</v>
      </c>
      <c r="AQ24" s="38">
        <f t="shared" ref="AQ24:AR38" si="24">COUNTIF($X24:$AD24,AQ$6)</f>
        <v>1</v>
      </c>
      <c r="AR24" s="38">
        <f t="shared" si="24"/>
        <v>1</v>
      </c>
      <c r="AS24" s="144" t="s">
        <v>73</v>
      </c>
      <c r="AT24" s="17">
        <f t="shared" si="6"/>
        <v>1</v>
      </c>
      <c r="AU24" s="17">
        <f t="shared" si="7"/>
        <v>0</v>
      </c>
      <c r="AV24" s="17">
        <f t="shared" si="8"/>
        <v>0</v>
      </c>
      <c r="AW24" s="11">
        <f t="shared" si="9"/>
        <v>0</v>
      </c>
      <c r="AX24" s="11">
        <f t="shared" si="10"/>
        <v>1</v>
      </c>
      <c r="AY24" s="11">
        <f t="shared" si="11"/>
        <v>0</v>
      </c>
      <c r="AZ24" s="11">
        <f t="shared" si="12"/>
        <v>4</v>
      </c>
      <c r="BA24" s="11">
        <f t="shared" si="13"/>
        <v>1</v>
      </c>
      <c r="BB24" s="11">
        <f t="shared" si="19"/>
        <v>0</v>
      </c>
      <c r="BC24" s="11">
        <f t="shared" si="20"/>
        <v>0</v>
      </c>
      <c r="BD24" s="11">
        <f t="shared" si="14"/>
        <v>4</v>
      </c>
      <c r="BE24" s="28">
        <f t="shared" si="15"/>
        <v>10</v>
      </c>
      <c r="BF24" s="29">
        <f t="shared" si="16"/>
        <v>6</v>
      </c>
      <c r="BG24" s="11">
        <f t="shared" si="17"/>
        <v>10</v>
      </c>
    </row>
    <row r="25" spans="1:59">
      <c r="A25" s="144" t="s">
        <v>36</v>
      </c>
      <c r="B25" s="226"/>
      <c r="C25" s="309" t="s">
        <v>67</v>
      </c>
      <c r="D25" s="187" t="s">
        <v>7</v>
      </c>
      <c r="E25" s="258" t="s">
        <v>5</v>
      </c>
      <c r="F25" s="258" t="s">
        <v>12</v>
      </c>
      <c r="G25" s="258" t="s">
        <v>25</v>
      </c>
      <c r="H25" s="187" t="s">
        <v>67</v>
      </c>
      <c r="I25" s="308" t="s">
        <v>67</v>
      </c>
      <c r="J25" s="309" t="s">
        <v>80</v>
      </c>
      <c r="K25" s="187" t="s">
        <v>7</v>
      </c>
      <c r="L25" s="187" t="s">
        <v>67</v>
      </c>
      <c r="M25" s="187" t="s">
        <v>67</v>
      </c>
      <c r="N25" s="187" t="s">
        <v>80</v>
      </c>
      <c r="O25" s="187" t="s">
        <v>89</v>
      </c>
      <c r="P25" s="324" t="s">
        <v>67</v>
      </c>
      <c r="Q25" s="309" t="s">
        <v>67</v>
      </c>
      <c r="R25" s="187" t="s">
        <v>7</v>
      </c>
      <c r="S25" s="187" t="s">
        <v>66</v>
      </c>
      <c r="T25" s="187" t="s">
        <v>66</v>
      </c>
      <c r="U25" s="187" t="s">
        <v>80</v>
      </c>
      <c r="V25" s="187" t="s">
        <v>82</v>
      </c>
      <c r="W25" s="308" t="s">
        <v>81</v>
      </c>
      <c r="X25" s="252" t="s">
        <v>25</v>
      </c>
      <c r="Y25" s="187" t="s">
        <v>7</v>
      </c>
      <c r="Z25" s="258" t="s">
        <v>5</v>
      </c>
      <c r="AA25" s="258" t="s">
        <v>90</v>
      </c>
      <c r="AB25" s="258" t="s">
        <v>6</v>
      </c>
      <c r="AC25" s="187" t="s">
        <v>80</v>
      </c>
      <c r="AD25" s="339" t="s">
        <v>80</v>
      </c>
      <c r="AE25" s="199">
        <f t="shared" si="0"/>
        <v>11</v>
      </c>
      <c r="AF25" s="198">
        <f t="shared" si="18"/>
        <v>6</v>
      </c>
      <c r="AG25" s="104"/>
      <c r="AH25" s="105"/>
      <c r="AI25" s="106"/>
      <c r="AJ25" s="106"/>
      <c r="AK25" s="175">
        <f t="shared" si="1"/>
        <v>1</v>
      </c>
      <c r="AL25" s="38">
        <f t="shared" si="2"/>
        <v>1</v>
      </c>
      <c r="AM25" s="38">
        <f t="shared" si="22"/>
        <v>1</v>
      </c>
      <c r="AN25" s="38">
        <f t="shared" si="22"/>
        <v>1</v>
      </c>
      <c r="AO25" s="38">
        <f t="shared" si="23"/>
        <v>1</v>
      </c>
      <c r="AP25" s="38">
        <f t="shared" si="23"/>
        <v>1</v>
      </c>
      <c r="AQ25" s="38">
        <f t="shared" si="24"/>
        <v>1</v>
      </c>
      <c r="AR25" s="38">
        <f t="shared" si="24"/>
        <v>1</v>
      </c>
      <c r="AS25" s="144" t="s">
        <v>36</v>
      </c>
      <c r="AT25" s="17">
        <f t="shared" si="6"/>
        <v>0</v>
      </c>
      <c r="AU25" s="17">
        <f t="shared" si="7"/>
        <v>0</v>
      </c>
      <c r="AV25" s="17">
        <f t="shared" si="8"/>
        <v>0</v>
      </c>
      <c r="AW25" s="11">
        <f t="shared" si="9"/>
        <v>0</v>
      </c>
      <c r="AX25" s="11">
        <f t="shared" si="10"/>
        <v>1</v>
      </c>
      <c r="AY25" s="11">
        <f t="shared" si="11"/>
        <v>0</v>
      </c>
      <c r="AZ25" s="11">
        <f t="shared" si="12"/>
        <v>4</v>
      </c>
      <c r="BA25" s="11">
        <f t="shared" si="13"/>
        <v>1</v>
      </c>
      <c r="BB25" s="11">
        <f t="shared" si="19"/>
        <v>0</v>
      </c>
      <c r="BC25" s="11">
        <f t="shared" si="20"/>
        <v>1</v>
      </c>
      <c r="BD25" s="11">
        <f t="shared" si="14"/>
        <v>4</v>
      </c>
      <c r="BE25" s="28">
        <f t="shared" si="15"/>
        <v>11</v>
      </c>
      <c r="BF25" s="29">
        <f t="shared" si="16"/>
        <v>6</v>
      </c>
      <c r="BG25" s="11">
        <f t="shared" si="17"/>
        <v>11</v>
      </c>
    </row>
    <row r="26" spans="1:59">
      <c r="A26" s="63" t="s">
        <v>37</v>
      </c>
      <c r="B26" s="168"/>
      <c r="C26" s="252" t="s">
        <v>5</v>
      </c>
      <c r="D26" s="187" t="s">
        <v>67</v>
      </c>
      <c r="E26" s="256" t="s">
        <v>67</v>
      </c>
      <c r="F26" s="258" t="s">
        <v>6</v>
      </c>
      <c r="G26" s="187" t="s">
        <v>80</v>
      </c>
      <c r="H26" s="258" t="s">
        <v>93</v>
      </c>
      <c r="I26" s="308" t="s">
        <v>7</v>
      </c>
      <c r="J26" s="309" t="s">
        <v>67</v>
      </c>
      <c r="K26" s="258" t="s">
        <v>5</v>
      </c>
      <c r="L26" s="258" t="s">
        <v>12</v>
      </c>
      <c r="M26" s="256" t="s">
        <v>80</v>
      </c>
      <c r="N26" s="187" t="s">
        <v>80</v>
      </c>
      <c r="O26" s="187" t="s">
        <v>80</v>
      </c>
      <c r="P26" s="308" t="s">
        <v>7</v>
      </c>
      <c r="Q26" s="252" t="s">
        <v>5</v>
      </c>
      <c r="R26" s="187" t="s">
        <v>84</v>
      </c>
      <c r="S26" s="187" t="s">
        <v>66</v>
      </c>
      <c r="T26" s="256" t="s">
        <v>67</v>
      </c>
      <c r="U26" s="187" t="s">
        <v>67</v>
      </c>
      <c r="V26" s="187" t="s">
        <v>80</v>
      </c>
      <c r="W26" s="308" t="s">
        <v>7</v>
      </c>
      <c r="X26" s="325" t="s">
        <v>82</v>
      </c>
      <c r="Y26" s="187" t="s">
        <v>66</v>
      </c>
      <c r="Z26" s="187" t="s">
        <v>66</v>
      </c>
      <c r="AA26" s="256" t="s">
        <v>66</v>
      </c>
      <c r="AB26" s="187" t="s">
        <v>67</v>
      </c>
      <c r="AC26" s="187" t="s">
        <v>67</v>
      </c>
      <c r="AD26" s="339" t="s">
        <v>7</v>
      </c>
      <c r="AE26" s="199">
        <f t="shared" si="0"/>
        <v>11</v>
      </c>
      <c r="AF26" s="198">
        <f t="shared" si="18"/>
        <v>6</v>
      </c>
      <c r="AG26" s="104"/>
      <c r="AH26" s="105"/>
      <c r="AI26" s="106"/>
      <c r="AJ26" s="106"/>
      <c r="AK26" s="175">
        <f t="shared" si="1"/>
        <v>1</v>
      </c>
      <c r="AL26" s="38">
        <f t="shared" si="2"/>
        <v>1</v>
      </c>
      <c r="AM26" s="38">
        <f t="shared" si="22"/>
        <v>1</v>
      </c>
      <c r="AN26" s="38">
        <f t="shared" si="22"/>
        <v>1</v>
      </c>
      <c r="AO26" s="38">
        <f t="shared" si="23"/>
        <v>1</v>
      </c>
      <c r="AP26" s="38">
        <f t="shared" si="23"/>
        <v>1</v>
      </c>
      <c r="AQ26" s="38">
        <f t="shared" si="24"/>
        <v>1</v>
      </c>
      <c r="AR26" s="38">
        <f t="shared" si="24"/>
        <v>1</v>
      </c>
      <c r="AS26" s="63" t="s">
        <v>37</v>
      </c>
      <c r="AT26" s="17">
        <f t="shared" si="6"/>
        <v>1</v>
      </c>
      <c r="AU26" s="17">
        <f t="shared" si="7"/>
        <v>0</v>
      </c>
      <c r="AV26" s="17">
        <f t="shared" si="8"/>
        <v>0</v>
      </c>
      <c r="AW26" s="11">
        <f t="shared" si="9"/>
        <v>0</v>
      </c>
      <c r="AX26" s="11">
        <f t="shared" si="10"/>
        <v>1</v>
      </c>
      <c r="AY26" s="11">
        <f t="shared" si="11"/>
        <v>0</v>
      </c>
      <c r="AZ26" s="11">
        <f t="shared" si="12"/>
        <v>4</v>
      </c>
      <c r="BA26" s="11">
        <f t="shared" si="13"/>
        <v>0</v>
      </c>
      <c r="BB26" s="11">
        <f t="shared" si="19"/>
        <v>0</v>
      </c>
      <c r="BC26" s="11">
        <f t="shared" si="20"/>
        <v>1</v>
      </c>
      <c r="BD26" s="11">
        <f t="shared" si="14"/>
        <v>4</v>
      </c>
      <c r="BE26" s="28">
        <f t="shared" si="15"/>
        <v>10</v>
      </c>
      <c r="BF26" s="29">
        <f t="shared" si="16"/>
        <v>4</v>
      </c>
      <c r="BG26" s="11">
        <f t="shared" si="17"/>
        <v>10</v>
      </c>
    </row>
    <row r="27" spans="1:59" ht="17.25" thickBot="1">
      <c r="A27" s="63" t="s">
        <v>74</v>
      </c>
      <c r="B27" s="167"/>
      <c r="C27" s="309" t="s">
        <v>66</v>
      </c>
      <c r="D27" s="187" t="s">
        <v>66</v>
      </c>
      <c r="E27" s="187" t="s">
        <v>65</v>
      </c>
      <c r="F27" s="187" t="s">
        <v>82</v>
      </c>
      <c r="G27" s="187" t="s">
        <v>69</v>
      </c>
      <c r="H27" s="187" t="s">
        <v>67</v>
      </c>
      <c r="I27" s="308" t="s">
        <v>80</v>
      </c>
      <c r="J27" s="309" t="s">
        <v>80</v>
      </c>
      <c r="K27" s="187" t="s">
        <v>82</v>
      </c>
      <c r="L27" s="187" t="s">
        <v>65</v>
      </c>
      <c r="M27" s="256" t="s">
        <v>67</v>
      </c>
      <c r="N27" s="187" t="s">
        <v>67</v>
      </c>
      <c r="O27" s="256" t="s">
        <v>80</v>
      </c>
      <c r="P27" s="324" t="s">
        <v>80</v>
      </c>
      <c r="Q27" s="325" t="s">
        <v>80</v>
      </c>
      <c r="R27" s="256" t="s">
        <v>82</v>
      </c>
      <c r="S27" s="187" t="s">
        <v>65</v>
      </c>
      <c r="T27" s="187" t="s">
        <v>66</v>
      </c>
      <c r="U27" s="187" t="s">
        <v>66</v>
      </c>
      <c r="V27" s="256" t="s">
        <v>67</v>
      </c>
      <c r="W27" s="324" t="s">
        <v>81</v>
      </c>
      <c r="X27" s="252" t="s">
        <v>20</v>
      </c>
      <c r="Y27" s="258" t="s">
        <v>5</v>
      </c>
      <c r="Z27" s="187" t="s">
        <v>65</v>
      </c>
      <c r="AA27" s="258" t="s">
        <v>90</v>
      </c>
      <c r="AB27" s="187" t="s">
        <v>66</v>
      </c>
      <c r="AC27" s="187" t="s">
        <v>66</v>
      </c>
      <c r="AD27" s="339" t="s">
        <v>66</v>
      </c>
      <c r="AE27" s="199">
        <f t="shared" si="0"/>
        <v>11</v>
      </c>
      <c r="AF27" s="198">
        <f t="shared" si="18"/>
        <v>5</v>
      </c>
      <c r="AG27" s="104"/>
      <c r="AH27" s="105"/>
      <c r="AI27" s="106"/>
      <c r="AJ27" s="106"/>
      <c r="AK27" s="185">
        <f t="shared" si="1"/>
        <v>1</v>
      </c>
      <c r="AL27" s="53">
        <f t="shared" si="2"/>
        <v>1</v>
      </c>
      <c r="AM27" s="53">
        <f t="shared" si="22"/>
        <v>1</v>
      </c>
      <c r="AN27" s="53">
        <f t="shared" si="22"/>
        <v>1</v>
      </c>
      <c r="AO27" s="53">
        <f t="shared" si="23"/>
        <v>1</v>
      </c>
      <c r="AP27" s="53">
        <f t="shared" si="23"/>
        <v>1</v>
      </c>
      <c r="AQ27" s="53">
        <f t="shared" si="24"/>
        <v>1</v>
      </c>
      <c r="AR27" s="53">
        <f t="shared" si="24"/>
        <v>1</v>
      </c>
      <c r="AS27" s="63" t="s">
        <v>74</v>
      </c>
      <c r="AT27" s="17">
        <f t="shared" si="6"/>
        <v>0</v>
      </c>
      <c r="AU27" s="17">
        <f t="shared" si="7"/>
        <v>0</v>
      </c>
      <c r="AV27" s="17">
        <f t="shared" si="8"/>
        <v>0</v>
      </c>
      <c r="AW27" s="11">
        <f t="shared" si="9"/>
        <v>0</v>
      </c>
      <c r="AX27" s="11">
        <f t="shared" si="10"/>
        <v>1</v>
      </c>
      <c r="AY27" s="11">
        <f t="shared" si="11"/>
        <v>0</v>
      </c>
      <c r="AZ27" s="11">
        <f t="shared" si="12"/>
        <v>4</v>
      </c>
      <c r="BA27" s="11">
        <f t="shared" si="13"/>
        <v>1</v>
      </c>
      <c r="BB27" s="11">
        <f t="shared" si="19"/>
        <v>0</v>
      </c>
      <c r="BC27" s="11">
        <f t="shared" si="20"/>
        <v>1</v>
      </c>
      <c r="BD27" s="11">
        <f t="shared" si="14"/>
        <v>4</v>
      </c>
      <c r="BE27" s="28">
        <f t="shared" si="15"/>
        <v>11</v>
      </c>
      <c r="BF27" s="29">
        <f t="shared" si="16"/>
        <v>4</v>
      </c>
      <c r="BG27" s="11">
        <f t="shared" si="17"/>
        <v>11</v>
      </c>
    </row>
    <row r="28" spans="1:59" ht="17.25" thickBot="1">
      <c r="A28" s="63" t="s">
        <v>85</v>
      </c>
      <c r="B28" s="168"/>
      <c r="C28" s="309" t="s">
        <v>82</v>
      </c>
      <c r="D28" s="326" t="s">
        <v>66</v>
      </c>
      <c r="E28" s="326" t="s">
        <v>66</v>
      </c>
      <c r="F28" s="187" t="s">
        <v>65</v>
      </c>
      <c r="G28" s="326" t="s">
        <v>66</v>
      </c>
      <c r="H28" s="326" t="s">
        <v>66</v>
      </c>
      <c r="I28" s="308" t="s">
        <v>81</v>
      </c>
      <c r="J28" s="309" t="s">
        <v>82</v>
      </c>
      <c r="K28" s="326" t="s">
        <v>66</v>
      </c>
      <c r="L28" s="326" t="s">
        <v>66</v>
      </c>
      <c r="M28" s="187" t="s">
        <v>65</v>
      </c>
      <c r="N28" s="326" t="s">
        <v>66</v>
      </c>
      <c r="O28" s="326" t="s">
        <v>66</v>
      </c>
      <c r="P28" s="327" t="s">
        <v>66</v>
      </c>
      <c r="Q28" s="309" t="s">
        <v>82</v>
      </c>
      <c r="R28" s="256" t="s">
        <v>84</v>
      </c>
      <c r="S28" s="256" t="s">
        <v>84</v>
      </c>
      <c r="T28" s="187" t="s">
        <v>65</v>
      </c>
      <c r="U28" s="326" t="s">
        <v>66</v>
      </c>
      <c r="V28" s="328" t="s">
        <v>66</v>
      </c>
      <c r="W28" s="308" t="s">
        <v>66</v>
      </c>
      <c r="X28" s="309" t="s">
        <v>82</v>
      </c>
      <c r="Y28" s="187" t="s">
        <v>66</v>
      </c>
      <c r="Z28" s="187" t="s">
        <v>66</v>
      </c>
      <c r="AA28" s="187" t="s">
        <v>65</v>
      </c>
      <c r="AB28" s="187" t="s">
        <v>66</v>
      </c>
      <c r="AC28" s="326" t="s">
        <v>66</v>
      </c>
      <c r="AD28" s="339" t="s">
        <v>66</v>
      </c>
      <c r="AE28" s="199">
        <f t="shared" ref="AE28" si="25">SUM(AT28:BD28)</f>
        <v>11</v>
      </c>
      <c r="AF28" s="198">
        <f t="shared" ref="AF28" si="26">COUNTIF(C28:AD28,"N")</f>
        <v>0</v>
      </c>
      <c r="AG28" s="104"/>
      <c r="AH28" s="105"/>
      <c r="AI28" s="106"/>
      <c r="AJ28" s="106"/>
      <c r="AK28" s="185">
        <f t="shared" si="1"/>
        <v>1</v>
      </c>
      <c r="AL28" s="53">
        <f t="shared" si="2"/>
        <v>1</v>
      </c>
      <c r="AM28" s="53">
        <f t="shared" si="22"/>
        <v>1</v>
      </c>
      <c r="AN28" s="53">
        <f t="shared" si="22"/>
        <v>1</v>
      </c>
      <c r="AO28" s="53">
        <f t="shared" si="23"/>
        <v>1</v>
      </c>
      <c r="AP28" s="53">
        <f t="shared" si="23"/>
        <v>1</v>
      </c>
      <c r="AQ28" s="53">
        <f t="shared" si="24"/>
        <v>1</v>
      </c>
      <c r="AR28" s="53">
        <f t="shared" si="24"/>
        <v>1</v>
      </c>
      <c r="AS28" s="63" t="s">
        <v>85</v>
      </c>
      <c r="AT28" s="17">
        <f t="shared" ref="AT28" si="27">COUNTIF(C28:AD28,"특*")</f>
        <v>2</v>
      </c>
      <c r="AU28" s="17">
        <f t="shared" ref="AU28" si="28">COUNTIF(C28:AD28,"경가")</f>
        <v>0</v>
      </c>
      <c r="AV28" s="17">
        <f t="shared" ref="AV28" si="29">COUNTIF(C28:AD28,"병*")</f>
        <v>0</v>
      </c>
      <c r="AW28" s="11">
        <f t="shared" ref="AW28" si="30">COUNTIF(C28:AD28,"공*")</f>
        <v>0</v>
      </c>
      <c r="AX28" s="11">
        <f t="shared" ref="AX28" si="31">COUNTIF(C28:AD28,"생*")+COUNTIF(C28:AD28,"산전")+COUNTIF(C28:AD28,"검진")</f>
        <v>0</v>
      </c>
      <c r="AY28" s="11">
        <f t="shared" ref="AY28" si="32">COUNTIF(C28:AD28,"법*")</f>
        <v>0</v>
      </c>
      <c r="AZ28" s="11">
        <f t="shared" ref="AZ28" si="33">COUNTIF(C28:AD28,"*OFF*")</f>
        <v>4</v>
      </c>
      <c r="BA28" s="11">
        <f t="shared" ref="BA28" si="34">COUNTIF(C28:AD28,"VAC*")+COUNTIF(C28:AD28,"휴가")</f>
        <v>1</v>
      </c>
      <c r="BB28" s="11">
        <f t="shared" ref="BB28" si="35">COUNTIF(C28:AD28,"출산")</f>
        <v>0</v>
      </c>
      <c r="BC28" s="11">
        <f t="shared" si="20"/>
        <v>0</v>
      </c>
      <c r="BD28" s="11">
        <f t="shared" ref="BD28" si="36">COUNTIF(C28:AD28,"주")</f>
        <v>4</v>
      </c>
      <c r="BE28" s="28">
        <f t="shared" ref="BE28" si="37">SUM(AX28:BD28)</f>
        <v>9</v>
      </c>
      <c r="BF28" s="29">
        <f t="shared" ref="BF28" si="38">COUNTIF(J28:AD28,"N")</f>
        <v>0</v>
      </c>
      <c r="BG28" s="11">
        <f t="shared" ref="BG28" si="39">SUM(AU28:BD28)</f>
        <v>9</v>
      </c>
    </row>
    <row r="29" spans="1:59">
      <c r="A29" s="63" t="s">
        <v>38</v>
      </c>
      <c r="B29" s="168"/>
      <c r="C29" s="309" t="s">
        <v>67</v>
      </c>
      <c r="D29" s="187" t="s">
        <v>80</v>
      </c>
      <c r="E29" s="187" t="s">
        <v>80</v>
      </c>
      <c r="F29" s="187" t="s">
        <v>84</v>
      </c>
      <c r="G29" s="187" t="s">
        <v>7</v>
      </c>
      <c r="H29" s="187" t="s">
        <v>82</v>
      </c>
      <c r="I29" s="308" t="s">
        <v>66</v>
      </c>
      <c r="J29" s="309" t="s">
        <v>67</v>
      </c>
      <c r="K29" s="187" t="s">
        <v>82</v>
      </c>
      <c r="L29" s="326" t="s">
        <v>66</v>
      </c>
      <c r="M29" s="258" t="s">
        <v>20</v>
      </c>
      <c r="N29" s="187" t="s">
        <v>7</v>
      </c>
      <c r="O29" s="258" t="s">
        <v>14</v>
      </c>
      <c r="P29" s="310" t="s">
        <v>94</v>
      </c>
      <c r="Q29" s="252" t="s">
        <v>5</v>
      </c>
      <c r="R29" s="326" t="s">
        <v>66</v>
      </c>
      <c r="S29" s="256" t="s">
        <v>66</v>
      </c>
      <c r="T29" s="256" t="s">
        <v>80</v>
      </c>
      <c r="U29" s="256" t="s">
        <v>65</v>
      </c>
      <c r="V29" s="256" t="s">
        <v>67</v>
      </c>
      <c r="W29" s="308" t="s">
        <v>67</v>
      </c>
      <c r="X29" s="252" t="s">
        <v>12</v>
      </c>
      <c r="Y29" s="187" t="s">
        <v>80</v>
      </c>
      <c r="Z29" s="187" t="s">
        <v>80</v>
      </c>
      <c r="AA29" s="187" t="s">
        <v>80</v>
      </c>
      <c r="AB29" s="187" t="s">
        <v>7</v>
      </c>
      <c r="AC29" s="187" t="s">
        <v>82</v>
      </c>
      <c r="AD29" s="339" t="s">
        <v>66</v>
      </c>
      <c r="AE29" s="199">
        <f t="shared" si="0"/>
        <v>12</v>
      </c>
      <c r="AF29" s="201">
        <f t="shared" si="18"/>
        <v>6</v>
      </c>
      <c r="AG29" s="106"/>
      <c r="AH29" s="110"/>
      <c r="AI29" s="106"/>
      <c r="AJ29" s="106"/>
      <c r="AK29" s="181">
        <f t="shared" si="1"/>
        <v>1</v>
      </c>
      <c r="AL29" s="67">
        <f t="shared" si="2"/>
        <v>1</v>
      </c>
      <c r="AM29" s="67">
        <f t="shared" si="22"/>
        <v>1</v>
      </c>
      <c r="AN29" s="67">
        <f t="shared" si="22"/>
        <v>1</v>
      </c>
      <c r="AO29" s="67">
        <f t="shared" si="23"/>
        <v>1</v>
      </c>
      <c r="AP29" s="67">
        <f t="shared" si="23"/>
        <v>1</v>
      </c>
      <c r="AQ29" s="67">
        <f t="shared" si="24"/>
        <v>1</v>
      </c>
      <c r="AR29" s="182">
        <f t="shared" si="24"/>
        <v>1</v>
      </c>
      <c r="AS29" s="63" t="s">
        <v>38</v>
      </c>
      <c r="AT29" s="17">
        <f t="shared" si="6"/>
        <v>1</v>
      </c>
      <c r="AU29" s="17">
        <f t="shared" si="7"/>
        <v>0</v>
      </c>
      <c r="AV29" s="17">
        <f t="shared" si="8"/>
        <v>0</v>
      </c>
      <c r="AW29" s="11">
        <f t="shared" si="9"/>
        <v>0</v>
      </c>
      <c r="AX29" s="11">
        <f t="shared" si="10"/>
        <v>1</v>
      </c>
      <c r="AY29" s="11">
        <f t="shared" si="11"/>
        <v>0</v>
      </c>
      <c r="AZ29" s="11">
        <f t="shared" si="12"/>
        <v>4</v>
      </c>
      <c r="BA29" s="11">
        <f t="shared" si="13"/>
        <v>1</v>
      </c>
      <c r="BB29" s="11">
        <f t="shared" si="19"/>
        <v>0</v>
      </c>
      <c r="BC29" s="11">
        <f t="shared" si="20"/>
        <v>1</v>
      </c>
      <c r="BD29" s="11">
        <f t="shared" si="14"/>
        <v>4</v>
      </c>
      <c r="BE29" s="28">
        <f t="shared" si="15"/>
        <v>11</v>
      </c>
      <c r="BF29" s="29">
        <f t="shared" si="16"/>
        <v>4</v>
      </c>
      <c r="BG29" s="11">
        <f t="shared" si="17"/>
        <v>11</v>
      </c>
    </row>
    <row r="30" spans="1:59" ht="17.25" thickBot="1">
      <c r="A30" s="169" t="s">
        <v>39</v>
      </c>
      <c r="B30" s="228"/>
      <c r="C30" s="329" t="s">
        <v>6</v>
      </c>
      <c r="D30" s="330" t="s">
        <v>80</v>
      </c>
      <c r="E30" s="330" t="s">
        <v>80</v>
      </c>
      <c r="F30" s="330" t="s">
        <v>65</v>
      </c>
      <c r="G30" s="330" t="s">
        <v>82</v>
      </c>
      <c r="H30" s="330" t="s">
        <v>66</v>
      </c>
      <c r="I30" s="331" t="s">
        <v>67</v>
      </c>
      <c r="J30" s="329" t="s">
        <v>14</v>
      </c>
      <c r="K30" s="330" t="s">
        <v>81</v>
      </c>
      <c r="L30" s="332" t="s">
        <v>5</v>
      </c>
      <c r="M30" s="330" t="s">
        <v>65</v>
      </c>
      <c r="N30" s="333" t="s">
        <v>66</v>
      </c>
      <c r="O30" s="330" t="s">
        <v>67</v>
      </c>
      <c r="P30" s="331" t="s">
        <v>67</v>
      </c>
      <c r="Q30" s="311" t="s">
        <v>67</v>
      </c>
      <c r="R30" s="313" t="s">
        <v>67</v>
      </c>
      <c r="S30" s="313" t="s">
        <v>82</v>
      </c>
      <c r="T30" s="313" t="s">
        <v>65</v>
      </c>
      <c r="U30" s="313" t="s">
        <v>66</v>
      </c>
      <c r="V30" s="312" t="s">
        <v>66</v>
      </c>
      <c r="W30" s="315" t="s">
        <v>67</v>
      </c>
      <c r="X30" s="316" t="s">
        <v>25</v>
      </c>
      <c r="Y30" s="314" t="s">
        <v>5</v>
      </c>
      <c r="Z30" s="314" t="s">
        <v>12</v>
      </c>
      <c r="AA30" s="312" t="s">
        <v>65</v>
      </c>
      <c r="AB30" s="313" t="s">
        <v>80</v>
      </c>
      <c r="AC30" s="312" t="s">
        <v>80</v>
      </c>
      <c r="AD30" s="376" t="s">
        <v>80</v>
      </c>
      <c r="AE30" s="377">
        <f t="shared" ref="AE30" si="40">SUM(AT30:BD30)</f>
        <v>11</v>
      </c>
      <c r="AF30" s="378">
        <f t="shared" ref="AF30" si="41">COUNTIF(C30:AD30,"N")</f>
        <v>6</v>
      </c>
      <c r="AG30" s="106"/>
      <c r="AH30" s="110"/>
      <c r="AI30" s="106"/>
      <c r="AJ30" s="106"/>
      <c r="AK30" s="181">
        <f t="shared" si="1"/>
        <v>1</v>
      </c>
      <c r="AL30" s="67">
        <f t="shared" si="2"/>
        <v>1</v>
      </c>
      <c r="AM30" s="67">
        <f t="shared" si="22"/>
        <v>1</v>
      </c>
      <c r="AN30" s="67">
        <f t="shared" si="22"/>
        <v>1</v>
      </c>
      <c r="AO30" s="67">
        <f t="shared" si="23"/>
        <v>1</v>
      </c>
      <c r="AP30" s="67">
        <f t="shared" si="23"/>
        <v>1</v>
      </c>
      <c r="AQ30" s="67">
        <f t="shared" si="24"/>
        <v>1</v>
      </c>
      <c r="AR30" s="182">
        <f t="shared" si="24"/>
        <v>1</v>
      </c>
      <c r="AS30" s="169" t="s">
        <v>39</v>
      </c>
      <c r="AT30" s="17">
        <f t="shared" ref="AT30" si="42">COUNTIF(C30:AD30,"특*")</f>
        <v>0</v>
      </c>
      <c r="AU30" s="17">
        <f t="shared" ref="AU30" si="43">COUNTIF(C30:AD30,"경가")</f>
        <v>0</v>
      </c>
      <c r="AV30" s="17">
        <f t="shared" ref="AV30" si="44">COUNTIF(C30:AD30,"병*")</f>
        <v>0</v>
      </c>
      <c r="AW30" s="11">
        <f t="shared" ref="AW30" si="45">COUNTIF(C30:AD30,"공*")</f>
        <v>0</v>
      </c>
      <c r="AX30" s="11">
        <f t="shared" ref="AX30" si="46">COUNTIF(C30:AD30,"생*")+COUNTIF(C30:AD30,"산전")+COUNTIF(C30:AD30,"검진")</f>
        <v>1</v>
      </c>
      <c r="AY30" s="11">
        <f t="shared" ref="AY30" si="47">COUNTIF(C30:AD30,"법*")</f>
        <v>0</v>
      </c>
      <c r="AZ30" s="11">
        <f t="shared" ref="AZ30" si="48">COUNTIF(C30:AD30,"*OFF*")</f>
        <v>4</v>
      </c>
      <c r="BA30" s="11">
        <f t="shared" ref="BA30" si="49">COUNTIF(C30:AD30,"VAC*")+COUNTIF(C30:AD30,"휴가")</f>
        <v>2</v>
      </c>
      <c r="BB30" s="11">
        <f t="shared" si="19"/>
        <v>0</v>
      </c>
      <c r="BC30" s="11">
        <f t="shared" si="20"/>
        <v>0</v>
      </c>
      <c r="BD30" s="11">
        <f t="shared" ref="BD30" si="50">COUNTIF(C30:AD30,"주")</f>
        <v>4</v>
      </c>
      <c r="BE30" s="28">
        <f t="shared" ref="BE30" si="51">SUM(AX30:BD30)</f>
        <v>11</v>
      </c>
      <c r="BF30" s="29">
        <f t="shared" ref="BF30" si="52">COUNTIF(J30:AD30,"N")</f>
        <v>3</v>
      </c>
      <c r="BG30" s="11">
        <f t="shared" ref="BG30" si="53">SUM(AU30:BD30)</f>
        <v>11</v>
      </c>
    </row>
    <row r="31" spans="1:59">
      <c r="A31" s="192" t="s">
        <v>52</v>
      </c>
      <c r="B31" s="145"/>
      <c r="C31" s="334" t="s">
        <v>5</v>
      </c>
      <c r="D31" s="304" t="s">
        <v>12</v>
      </c>
      <c r="E31" s="254" t="s">
        <v>67</v>
      </c>
      <c r="F31" s="233" t="s">
        <v>80</v>
      </c>
      <c r="G31" s="233" t="s">
        <v>80</v>
      </c>
      <c r="H31" s="233" t="s">
        <v>80</v>
      </c>
      <c r="I31" s="306" t="s">
        <v>65</v>
      </c>
      <c r="J31" s="289" t="s">
        <v>82</v>
      </c>
      <c r="K31" s="233" t="s">
        <v>66</v>
      </c>
      <c r="L31" s="233" t="s">
        <v>66</v>
      </c>
      <c r="M31" s="254" t="s">
        <v>66</v>
      </c>
      <c r="N31" s="254" t="s">
        <v>80</v>
      </c>
      <c r="O31" s="254" t="s">
        <v>80</v>
      </c>
      <c r="P31" s="335" t="s">
        <v>65</v>
      </c>
      <c r="Q31" s="253" t="s">
        <v>82</v>
      </c>
      <c r="R31" s="255" t="s">
        <v>66</v>
      </c>
      <c r="S31" s="255" t="s">
        <v>66</v>
      </c>
      <c r="T31" s="255" t="s">
        <v>66</v>
      </c>
      <c r="U31" s="255" t="s">
        <v>67</v>
      </c>
      <c r="V31" s="255" t="s">
        <v>67</v>
      </c>
      <c r="W31" s="336" t="s">
        <v>65</v>
      </c>
      <c r="X31" s="253" t="s">
        <v>81</v>
      </c>
      <c r="Y31" s="255" t="s">
        <v>66</v>
      </c>
      <c r="Z31" s="255" t="s">
        <v>66</v>
      </c>
      <c r="AA31" s="255" t="s">
        <v>67</v>
      </c>
      <c r="AB31" s="255" t="s">
        <v>81</v>
      </c>
      <c r="AC31" s="255" t="s">
        <v>82</v>
      </c>
      <c r="AD31" s="336" t="s">
        <v>65</v>
      </c>
      <c r="AE31" s="195">
        <f t="shared" si="0"/>
        <v>11</v>
      </c>
      <c r="AF31" s="381">
        <f t="shared" si="18"/>
        <v>5</v>
      </c>
      <c r="AG31" s="106"/>
      <c r="AH31" s="110"/>
      <c r="AI31" s="106"/>
      <c r="AJ31" s="106"/>
      <c r="AK31" s="175">
        <f t="shared" si="1"/>
        <v>1</v>
      </c>
      <c r="AL31" s="38">
        <f t="shared" si="2"/>
        <v>1</v>
      </c>
      <c r="AM31" s="38">
        <f t="shared" si="22"/>
        <v>1</v>
      </c>
      <c r="AN31" s="38">
        <f t="shared" si="22"/>
        <v>1</v>
      </c>
      <c r="AO31" s="38">
        <f t="shared" si="23"/>
        <v>1</v>
      </c>
      <c r="AP31" s="38">
        <f t="shared" si="23"/>
        <v>1</v>
      </c>
      <c r="AQ31" s="38">
        <f t="shared" si="24"/>
        <v>1</v>
      </c>
      <c r="AR31" s="178">
        <f t="shared" si="24"/>
        <v>1</v>
      </c>
      <c r="AS31" s="192" t="s">
        <v>52</v>
      </c>
      <c r="AT31" s="17">
        <f t="shared" si="6"/>
        <v>0</v>
      </c>
      <c r="AU31" s="17">
        <f t="shared" si="7"/>
        <v>0</v>
      </c>
      <c r="AV31" s="17">
        <f t="shared" si="8"/>
        <v>0</v>
      </c>
      <c r="AW31" s="11">
        <f t="shared" si="9"/>
        <v>0</v>
      </c>
      <c r="AX31" s="11">
        <f t="shared" si="10"/>
        <v>1</v>
      </c>
      <c r="AY31" s="11">
        <f t="shared" si="11"/>
        <v>0</v>
      </c>
      <c r="AZ31" s="11">
        <f t="shared" si="12"/>
        <v>4</v>
      </c>
      <c r="BA31" s="11">
        <f t="shared" si="13"/>
        <v>2</v>
      </c>
      <c r="BB31" s="11">
        <f t="shared" si="19"/>
        <v>0</v>
      </c>
      <c r="BC31" s="11">
        <f t="shared" si="20"/>
        <v>0</v>
      </c>
      <c r="BD31" s="11">
        <f t="shared" si="14"/>
        <v>4</v>
      </c>
      <c r="BE31" s="28">
        <f t="shared" si="15"/>
        <v>11</v>
      </c>
      <c r="BF31" s="29">
        <f t="shared" si="16"/>
        <v>2</v>
      </c>
      <c r="BG31" s="11">
        <f t="shared" si="17"/>
        <v>11</v>
      </c>
    </row>
    <row r="32" spans="1:59">
      <c r="A32" s="126" t="s">
        <v>75</v>
      </c>
      <c r="B32" s="63"/>
      <c r="C32" s="337" t="s">
        <v>66</v>
      </c>
      <c r="D32" s="187" t="s">
        <v>20</v>
      </c>
      <c r="E32" s="256" t="s">
        <v>66</v>
      </c>
      <c r="F32" s="187" t="s">
        <v>7</v>
      </c>
      <c r="G32" s="187" t="s">
        <v>67</v>
      </c>
      <c r="H32" s="187" t="s">
        <v>82</v>
      </c>
      <c r="I32" s="308" t="s">
        <v>80</v>
      </c>
      <c r="J32" s="309" t="s">
        <v>80</v>
      </c>
      <c r="K32" s="187" t="s">
        <v>80</v>
      </c>
      <c r="L32" s="187" t="s">
        <v>82</v>
      </c>
      <c r="M32" s="256" t="s">
        <v>7</v>
      </c>
      <c r="N32" s="256" t="s">
        <v>69</v>
      </c>
      <c r="O32" s="256" t="s">
        <v>66</v>
      </c>
      <c r="P32" s="338" t="s">
        <v>66</v>
      </c>
      <c r="Q32" s="309" t="s">
        <v>66</v>
      </c>
      <c r="R32" s="187" t="s">
        <v>66</v>
      </c>
      <c r="S32" s="187" t="s">
        <v>67</v>
      </c>
      <c r="T32" s="187" t="s">
        <v>7</v>
      </c>
      <c r="U32" s="187" t="s">
        <v>66</v>
      </c>
      <c r="V32" s="187" t="s">
        <v>84</v>
      </c>
      <c r="W32" s="339" t="s">
        <v>82</v>
      </c>
      <c r="X32" s="309" t="s">
        <v>80</v>
      </c>
      <c r="Y32" s="187" t="s">
        <v>80</v>
      </c>
      <c r="Z32" s="187" t="s">
        <v>80</v>
      </c>
      <c r="AA32" s="187" t="s">
        <v>7</v>
      </c>
      <c r="AB32" s="256" t="s">
        <v>82</v>
      </c>
      <c r="AC32" s="187" t="s">
        <v>67</v>
      </c>
      <c r="AD32" s="339" t="s">
        <v>67</v>
      </c>
      <c r="AE32" s="197">
        <f t="shared" si="0"/>
        <v>10</v>
      </c>
      <c r="AF32" s="201">
        <f t="shared" si="18"/>
        <v>6</v>
      </c>
      <c r="AG32" s="106"/>
      <c r="AH32" s="110"/>
      <c r="AI32" s="106"/>
      <c r="AJ32" s="106"/>
      <c r="AK32" s="175">
        <f t="shared" si="1"/>
        <v>1</v>
      </c>
      <c r="AL32" s="38">
        <f t="shared" si="2"/>
        <v>1</v>
      </c>
      <c r="AM32" s="38">
        <f t="shared" si="22"/>
        <v>1</v>
      </c>
      <c r="AN32" s="38">
        <f t="shared" si="22"/>
        <v>1</v>
      </c>
      <c r="AO32" s="38">
        <f t="shared" si="23"/>
        <v>1</v>
      </c>
      <c r="AP32" s="38">
        <f t="shared" si="23"/>
        <v>1</v>
      </c>
      <c r="AQ32" s="38">
        <f t="shared" si="24"/>
        <v>1</v>
      </c>
      <c r="AR32" s="178">
        <f t="shared" si="24"/>
        <v>1</v>
      </c>
      <c r="AS32" s="126" t="s">
        <v>75</v>
      </c>
      <c r="AT32" s="17">
        <f t="shared" si="6"/>
        <v>1</v>
      </c>
      <c r="AU32" s="17">
        <f t="shared" si="7"/>
        <v>0</v>
      </c>
      <c r="AV32" s="17">
        <f t="shared" si="8"/>
        <v>0</v>
      </c>
      <c r="AW32" s="11">
        <f t="shared" si="9"/>
        <v>0</v>
      </c>
      <c r="AX32" s="11">
        <f t="shared" si="10"/>
        <v>1</v>
      </c>
      <c r="AY32" s="11">
        <f t="shared" si="11"/>
        <v>0</v>
      </c>
      <c r="AZ32" s="11">
        <f t="shared" si="12"/>
        <v>4</v>
      </c>
      <c r="BA32" s="11">
        <f t="shared" si="13"/>
        <v>0</v>
      </c>
      <c r="BB32" s="11">
        <f t="shared" si="19"/>
        <v>0</v>
      </c>
      <c r="BC32" s="11">
        <f t="shared" si="20"/>
        <v>0</v>
      </c>
      <c r="BD32" s="11">
        <f t="shared" si="14"/>
        <v>4</v>
      </c>
      <c r="BE32" s="28">
        <f t="shared" si="15"/>
        <v>9</v>
      </c>
      <c r="BF32" s="29">
        <f t="shared" si="16"/>
        <v>5</v>
      </c>
      <c r="BG32" s="11">
        <f t="shared" si="17"/>
        <v>9</v>
      </c>
    </row>
    <row r="33" spans="1:59">
      <c r="A33" s="126" t="s">
        <v>70</v>
      </c>
      <c r="B33" s="63"/>
      <c r="C33" s="337" t="s">
        <v>66</v>
      </c>
      <c r="D33" s="187" t="s">
        <v>20</v>
      </c>
      <c r="E33" s="187" t="s">
        <v>65</v>
      </c>
      <c r="F33" s="187" t="s">
        <v>82</v>
      </c>
      <c r="G33" s="187" t="s">
        <v>81</v>
      </c>
      <c r="H33" s="187" t="s">
        <v>80</v>
      </c>
      <c r="I33" s="308" t="s">
        <v>80</v>
      </c>
      <c r="J33" s="309" t="s">
        <v>80</v>
      </c>
      <c r="K33" s="187" t="s">
        <v>82</v>
      </c>
      <c r="L33" s="187" t="s">
        <v>65</v>
      </c>
      <c r="M33" s="256" t="s">
        <v>66</v>
      </c>
      <c r="N33" s="256" t="s">
        <v>67</v>
      </c>
      <c r="O33" s="256" t="s">
        <v>67</v>
      </c>
      <c r="P33" s="339" t="s">
        <v>80</v>
      </c>
      <c r="Q33" s="309" t="s">
        <v>80</v>
      </c>
      <c r="R33" s="187" t="s">
        <v>80</v>
      </c>
      <c r="S33" s="187" t="s">
        <v>65</v>
      </c>
      <c r="T33" s="187" t="s">
        <v>82</v>
      </c>
      <c r="U33" s="187" t="s">
        <v>66</v>
      </c>
      <c r="V33" s="258" t="s">
        <v>20</v>
      </c>
      <c r="W33" s="340" t="s">
        <v>69</v>
      </c>
      <c r="X33" s="252" t="s">
        <v>88</v>
      </c>
      <c r="Y33" s="258" t="s">
        <v>89</v>
      </c>
      <c r="Z33" s="187" t="s">
        <v>65</v>
      </c>
      <c r="AA33" s="257" t="s">
        <v>66</v>
      </c>
      <c r="AB33" s="256" t="s">
        <v>67</v>
      </c>
      <c r="AC33" s="256" t="s">
        <v>67</v>
      </c>
      <c r="AD33" s="338" t="s">
        <v>67</v>
      </c>
      <c r="AE33" s="197">
        <f t="shared" si="0"/>
        <v>11</v>
      </c>
      <c r="AF33" s="201">
        <f t="shared" si="18"/>
        <v>6</v>
      </c>
      <c r="AG33" s="106"/>
      <c r="AH33" s="110"/>
      <c r="AI33" s="106"/>
      <c r="AJ33" s="106"/>
      <c r="AK33" s="175">
        <f t="shared" si="1"/>
        <v>1</v>
      </c>
      <c r="AL33" s="38">
        <f t="shared" si="2"/>
        <v>1</v>
      </c>
      <c r="AM33" s="38">
        <f t="shared" si="22"/>
        <v>1</v>
      </c>
      <c r="AN33" s="38">
        <f t="shared" si="22"/>
        <v>1</v>
      </c>
      <c r="AO33" s="38">
        <f t="shared" si="23"/>
        <v>1</v>
      </c>
      <c r="AP33" s="38">
        <f t="shared" si="23"/>
        <v>1</v>
      </c>
      <c r="AQ33" s="38">
        <f t="shared" si="24"/>
        <v>1</v>
      </c>
      <c r="AR33" s="178">
        <f t="shared" si="24"/>
        <v>1</v>
      </c>
      <c r="AS33" s="126" t="s">
        <v>70</v>
      </c>
      <c r="AT33" s="17">
        <f t="shared" si="6"/>
        <v>0</v>
      </c>
      <c r="AU33" s="17">
        <f t="shared" si="7"/>
        <v>0</v>
      </c>
      <c r="AV33" s="17">
        <f t="shared" si="8"/>
        <v>0</v>
      </c>
      <c r="AW33" s="11">
        <f t="shared" si="9"/>
        <v>0</v>
      </c>
      <c r="AX33" s="11">
        <f t="shared" si="10"/>
        <v>1</v>
      </c>
      <c r="AY33" s="11">
        <f t="shared" si="11"/>
        <v>0</v>
      </c>
      <c r="AZ33" s="11">
        <f t="shared" si="12"/>
        <v>4</v>
      </c>
      <c r="BA33" s="11">
        <f t="shared" si="13"/>
        <v>2</v>
      </c>
      <c r="BB33" s="11">
        <f t="shared" si="19"/>
        <v>0</v>
      </c>
      <c r="BC33" s="11">
        <f t="shared" si="20"/>
        <v>0</v>
      </c>
      <c r="BD33" s="11">
        <f t="shared" si="14"/>
        <v>4</v>
      </c>
      <c r="BE33" s="28">
        <f t="shared" si="15"/>
        <v>11</v>
      </c>
      <c r="BF33" s="29">
        <f t="shared" si="16"/>
        <v>4</v>
      </c>
      <c r="BG33" s="11">
        <f t="shared" si="17"/>
        <v>11</v>
      </c>
    </row>
    <row r="34" spans="1:59">
      <c r="A34" s="126" t="s">
        <v>40</v>
      </c>
      <c r="B34" s="63"/>
      <c r="C34" s="337" t="s">
        <v>67</v>
      </c>
      <c r="D34" s="187" t="s">
        <v>80</v>
      </c>
      <c r="E34" s="187" t="s">
        <v>80</v>
      </c>
      <c r="F34" s="187" t="s">
        <v>80</v>
      </c>
      <c r="G34" s="187" t="s">
        <v>7</v>
      </c>
      <c r="H34" s="187" t="s">
        <v>82</v>
      </c>
      <c r="I34" s="252" t="s">
        <v>95</v>
      </c>
      <c r="J34" s="309" t="s">
        <v>66</v>
      </c>
      <c r="K34" s="187" t="s">
        <v>66</v>
      </c>
      <c r="L34" s="187" t="s">
        <v>80</v>
      </c>
      <c r="M34" s="187" t="s">
        <v>80</v>
      </c>
      <c r="N34" s="187" t="s">
        <v>7</v>
      </c>
      <c r="O34" s="187" t="s">
        <v>82</v>
      </c>
      <c r="P34" s="339" t="s">
        <v>69</v>
      </c>
      <c r="Q34" s="309" t="s">
        <v>66</v>
      </c>
      <c r="R34" s="187" t="s">
        <v>66</v>
      </c>
      <c r="S34" s="187" t="s">
        <v>67</v>
      </c>
      <c r="T34" s="187" t="s">
        <v>67</v>
      </c>
      <c r="U34" s="187" t="s">
        <v>7</v>
      </c>
      <c r="V34" s="187" t="s">
        <v>82</v>
      </c>
      <c r="W34" s="339" t="s">
        <v>67</v>
      </c>
      <c r="X34" s="309" t="s">
        <v>67</v>
      </c>
      <c r="Y34" s="187" t="s">
        <v>67</v>
      </c>
      <c r="Z34" s="187" t="s">
        <v>67</v>
      </c>
      <c r="AA34" s="187" t="s">
        <v>82</v>
      </c>
      <c r="AB34" s="187" t="s">
        <v>7</v>
      </c>
      <c r="AC34" s="187" t="s">
        <v>67</v>
      </c>
      <c r="AD34" s="340" t="s">
        <v>96</v>
      </c>
      <c r="AE34" s="197">
        <f t="shared" si="0"/>
        <v>11</v>
      </c>
      <c r="AF34" s="201">
        <f t="shared" si="18"/>
        <v>5</v>
      </c>
      <c r="AG34" s="106"/>
      <c r="AH34" s="110"/>
      <c r="AI34" s="106"/>
      <c r="AJ34" s="106"/>
      <c r="AK34" s="175">
        <f t="shared" si="1"/>
        <v>1</v>
      </c>
      <c r="AL34" s="38">
        <f t="shared" si="2"/>
        <v>1</v>
      </c>
      <c r="AM34" s="38">
        <f t="shared" si="22"/>
        <v>1</v>
      </c>
      <c r="AN34" s="38">
        <f t="shared" si="22"/>
        <v>1</v>
      </c>
      <c r="AO34" s="38">
        <f t="shared" si="23"/>
        <v>1</v>
      </c>
      <c r="AP34" s="38">
        <f t="shared" si="23"/>
        <v>1</v>
      </c>
      <c r="AQ34" s="38">
        <f t="shared" si="24"/>
        <v>1</v>
      </c>
      <c r="AR34" s="178">
        <f t="shared" si="24"/>
        <v>1</v>
      </c>
      <c r="AS34" s="126" t="s">
        <v>40</v>
      </c>
      <c r="AT34" s="17">
        <f t="shared" si="6"/>
        <v>0</v>
      </c>
      <c r="AU34" s="17">
        <f t="shared" si="7"/>
        <v>1</v>
      </c>
      <c r="AV34" s="17">
        <f t="shared" si="8"/>
        <v>0</v>
      </c>
      <c r="AW34" s="11">
        <f t="shared" si="9"/>
        <v>0</v>
      </c>
      <c r="AX34" s="11">
        <f t="shared" si="10"/>
        <v>1</v>
      </c>
      <c r="AY34" s="11">
        <f t="shared" si="11"/>
        <v>0</v>
      </c>
      <c r="AZ34" s="11">
        <f t="shared" si="12"/>
        <v>4</v>
      </c>
      <c r="BA34" s="11">
        <f t="shared" si="13"/>
        <v>0</v>
      </c>
      <c r="BB34" s="11">
        <f t="shared" si="19"/>
        <v>0</v>
      </c>
      <c r="BC34" s="11">
        <f t="shared" si="20"/>
        <v>1</v>
      </c>
      <c r="BD34" s="11">
        <f t="shared" si="14"/>
        <v>4</v>
      </c>
      <c r="BE34" s="28">
        <f t="shared" si="15"/>
        <v>10</v>
      </c>
      <c r="BF34" s="29">
        <f t="shared" si="16"/>
        <v>2</v>
      </c>
      <c r="BG34" s="11">
        <f t="shared" si="17"/>
        <v>11</v>
      </c>
    </row>
    <row r="35" spans="1:59">
      <c r="A35" s="247" t="s">
        <v>41</v>
      </c>
      <c r="B35" s="63"/>
      <c r="C35" s="337" t="s">
        <v>80</v>
      </c>
      <c r="D35" s="187" t="s">
        <v>7</v>
      </c>
      <c r="E35" s="187" t="s">
        <v>82</v>
      </c>
      <c r="F35" s="256" t="s">
        <v>66</v>
      </c>
      <c r="G35" s="187" t="s">
        <v>66</v>
      </c>
      <c r="H35" s="256" t="s">
        <v>82</v>
      </c>
      <c r="I35" s="308" t="s">
        <v>66</v>
      </c>
      <c r="J35" s="309" t="s">
        <v>66</v>
      </c>
      <c r="K35" s="187" t="s">
        <v>7</v>
      </c>
      <c r="L35" s="258" t="s">
        <v>66</v>
      </c>
      <c r="M35" s="256" t="s">
        <v>80</v>
      </c>
      <c r="N35" s="256" t="s">
        <v>82</v>
      </c>
      <c r="O35" s="256" t="s">
        <v>89</v>
      </c>
      <c r="P35" s="338" t="s">
        <v>81</v>
      </c>
      <c r="Q35" s="325" t="s">
        <v>80</v>
      </c>
      <c r="R35" s="187" t="s">
        <v>7</v>
      </c>
      <c r="S35" s="187" t="s">
        <v>82</v>
      </c>
      <c r="T35" s="187" t="s">
        <v>82</v>
      </c>
      <c r="U35" s="258" t="s">
        <v>95</v>
      </c>
      <c r="V35" s="187" t="s">
        <v>67</v>
      </c>
      <c r="W35" s="339" t="s">
        <v>67</v>
      </c>
      <c r="X35" s="325" t="s">
        <v>67</v>
      </c>
      <c r="Y35" s="256" t="s">
        <v>7</v>
      </c>
      <c r="Z35" s="256" t="s">
        <v>82</v>
      </c>
      <c r="AA35" s="257" t="s">
        <v>82</v>
      </c>
      <c r="AB35" s="187" t="s">
        <v>66</v>
      </c>
      <c r="AC35" s="187" t="s">
        <v>66</v>
      </c>
      <c r="AD35" s="339" t="s">
        <v>66</v>
      </c>
      <c r="AE35" s="197">
        <f t="shared" si="0"/>
        <v>14</v>
      </c>
      <c r="AF35" s="201">
        <f t="shared" si="18"/>
        <v>3</v>
      </c>
      <c r="AG35" s="106"/>
      <c r="AH35" s="110"/>
      <c r="AI35" s="106"/>
      <c r="AJ35" s="106"/>
      <c r="AK35" s="176">
        <f t="shared" si="1"/>
        <v>1</v>
      </c>
      <c r="AL35" s="38">
        <f t="shared" si="2"/>
        <v>2</v>
      </c>
      <c r="AM35" s="75">
        <f t="shared" si="22"/>
        <v>1</v>
      </c>
      <c r="AN35" s="75">
        <f t="shared" si="22"/>
        <v>2</v>
      </c>
      <c r="AO35" s="75">
        <f t="shared" si="23"/>
        <v>1</v>
      </c>
      <c r="AP35" s="75">
        <f t="shared" si="23"/>
        <v>2</v>
      </c>
      <c r="AQ35" s="75">
        <f t="shared" si="24"/>
        <v>1</v>
      </c>
      <c r="AR35" s="179">
        <f t="shared" si="24"/>
        <v>2</v>
      </c>
      <c r="AS35" s="247" t="s">
        <v>41</v>
      </c>
      <c r="AT35" s="17">
        <f t="shared" si="6"/>
        <v>0</v>
      </c>
      <c r="AU35" s="17">
        <f t="shared" si="7"/>
        <v>0</v>
      </c>
      <c r="AV35" s="17">
        <f t="shared" si="8"/>
        <v>0</v>
      </c>
      <c r="AW35" s="11">
        <f t="shared" si="9"/>
        <v>0</v>
      </c>
      <c r="AX35" s="11">
        <f t="shared" si="10"/>
        <v>0</v>
      </c>
      <c r="AY35" s="11">
        <f t="shared" si="11"/>
        <v>0</v>
      </c>
      <c r="AZ35" s="11">
        <f t="shared" si="12"/>
        <v>8</v>
      </c>
      <c r="BA35" s="11">
        <f t="shared" si="13"/>
        <v>1</v>
      </c>
      <c r="BB35" s="11">
        <f t="shared" si="19"/>
        <v>0</v>
      </c>
      <c r="BC35" s="11">
        <f t="shared" si="20"/>
        <v>1</v>
      </c>
      <c r="BD35" s="11">
        <f t="shared" si="14"/>
        <v>4</v>
      </c>
      <c r="BE35" s="28">
        <f t="shared" si="15"/>
        <v>14</v>
      </c>
      <c r="BF35" s="29">
        <f t="shared" si="16"/>
        <v>2</v>
      </c>
      <c r="BG35" s="11">
        <f t="shared" si="17"/>
        <v>14</v>
      </c>
    </row>
    <row r="36" spans="1:59">
      <c r="A36" s="126" t="s">
        <v>42</v>
      </c>
      <c r="B36" s="63"/>
      <c r="C36" s="337" t="s">
        <v>80</v>
      </c>
      <c r="D36" s="187" t="s">
        <v>80</v>
      </c>
      <c r="E36" s="187" t="s">
        <v>7</v>
      </c>
      <c r="F36" s="187" t="s">
        <v>89</v>
      </c>
      <c r="G36" s="187" t="s">
        <v>84</v>
      </c>
      <c r="H36" s="187" t="s">
        <v>66</v>
      </c>
      <c r="I36" s="308" t="s">
        <v>66</v>
      </c>
      <c r="J36" s="309" t="s">
        <v>66</v>
      </c>
      <c r="K36" s="187" t="s">
        <v>66</v>
      </c>
      <c r="L36" s="187" t="s">
        <v>7</v>
      </c>
      <c r="M36" s="187" t="s">
        <v>82</v>
      </c>
      <c r="N36" s="258" t="s">
        <v>20</v>
      </c>
      <c r="O36" s="187" t="s">
        <v>66</v>
      </c>
      <c r="P36" s="338" t="s">
        <v>66</v>
      </c>
      <c r="Q36" s="309" t="s">
        <v>80</v>
      </c>
      <c r="R36" s="187" t="s">
        <v>80</v>
      </c>
      <c r="S36" s="187" t="s">
        <v>7</v>
      </c>
      <c r="T36" s="258" t="s">
        <v>12</v>
      </c>
      <c r="U36" s="187" t="s">
        <v>82</v>
      </c>
      <c r="V36" s="187" t="s">
        <v>67</v>
      </c>
      <c r="W36" s="338" t="s">
        <v>80</v>
      </c>
      <c r="X36" s="309" t="s">
        <v>80</v>
      </c>
      <c r="Y36" s="187" t="s">
        <v>82</v>
      </c>
      <c r="Z36" s="187" t="s">
        <v>7</v>
      </c>
      <c r="AA36" s="187" t="s">
        <v>66</v>
      </c>
      <c r="AB36" s="256" t="s">
        <v>66</v>
      </c>
      <c r="AC36" s="256" t="s">
        <v>81</v>
      </c>
      <c r="AD36" s="339" t="s">
        <v>67</v>
      </c>
      <c r="AE36" s="197">
        <f t="shared" si="0"/>
        <v>11</v>
      </c>
      <c r="AF36" s="201">
        <f t="shared" si="18"/>
        <v>6</v>
      </c>
      <c r="AG36" s="106"/>
      <c r="AH36" s="110"/>
      <c r="AI36" s="106"/>
      <c r="AJ36" s="106"/>
      <c r="AK36" s="176">
        <f t="shared" si="1"/>
        <v>1</v>
      </c>
      <c r="AL36" s="38">
        <f t="shared" si="2"/>
        <v>1</v>
      </c>
      <c r="AM36" s="75">
        <f t="shared" si="22"/>
        <v>1</v>
      </c>
      <c r="AN36" s="75">
        <f t="shared" si="22"/>
        <v>1</v>
      </c>
      <c r="AO36" s="75">
        <f t="shared" si="23"/>
        <v>1</v>
      </c>
      <c r="AP36" s="75">
        <f t="shared" si="23"/>
        <v>1</v>
      </c>
      <c r="AQ36" s="75">
        <f t="shared" si="24"/>
        <v>1</v>
      </c>
      <c r="AR36" s="179">
        <f t="shared" si="24"/>
        <v>1</v>
      </c>
      <c r="AS36" s="126" t="s">
        <v>42</v>
      </c>
      <c r="AT36" s="17">
        <f t="shared" si="6"/>
        <v>1</v>
      </c>
      <c r="AU36" s="17">
        <f t="shared" si="7"/>
        <v>0</v>
      </c>
      <c r="AV36" s="17">
        <f t="shared" si="8"/>
        <v>0</v>
      </c>
      <c r="AW36" s="11">
        <f t="shared" si="9"/>
        <v>0</v>
      </c>
      <c r="AX36" s="11">
        <f t="shared" si="10"/>
        <v>1</v>
      </c>
      <c r="AY36" s="11">
        <f t="shared" si="11"/>
        <v>0</v>
      </c>
      <c r="AZ36" s="11">
        <f t="shared" si="12"/>
        <v>4</v>
      </c>
      <c r="BA36" s="11">
        <f t="shared" si="13"/>
        <v>1</v>
      </c>
      <c r="BB36" s="11">
        <f t="shared" si="19"/>
        <v>0</v>
      </c>
      <c r="BC36" s="11">
        <f t="shared" si="20"/>
        <v>0</v>
      </c>
      <c r="BD36" s="11">
        <f t="shared" si="14"/>
        <v>4</v>
      </c>
      <c r="BE36" s="28">
        <f t="shared" si="15"/>
        <v>10</v>
      </c>
      <c r="BF36" s="29">
        <f t="shared" si="16"/>
        <v>4</v>
      </c>
      <c r="BG36" s="11">
        <f t="shared" si="17"/>
        <v>10</v>
      </c>
    </row>
    <row r="37" spans="1:59">
      <c r="A37" s="126" t="s">
        <v>43</v>
      </c>
      <c r="B37" s="63"/>
      <c r="C37" s="337" t="s">
        <v>66</v>
      </c>
      <c r="D37" s="187" t="s">
        <v>80</v>
      </c>
      <c r="E37" s="187" t="s">
        <v>81</v>
      </c>
      <c r="F37" s="187" t="s">
        <v>65</v>
      </c>
      <c r="G37" s="187" t="s">
        <v>97</v>
      </c>
      <c r="H37" s="187" t="s">
        <v>82</v>
      </c>
      <c r="I37" s="308" t="s">
        <v>67</v>
      </c>
      <c r="J37" s="309" t="s">
        <v>67</v>
      </c>
      <c r="K37" s="187" t="s">
        <v>67</v>
      </c>
      <c r="L37" s="187" t="s">
        <v>80</v>
      </c>
      <c r="M37" s="187" t="s">
        <v>7</v>
      </c>
      <c r="N37" s="256" t="s">
        <v>67</v>
      </c>
      <c r="O37" s="256" t="s">
        <v>67</v>
      </c>
      <c r="P37" s="340" t="s">
        <v>5</v>
      </c>
      <c r="Q37" s="309" t="s">
        <v>67</v>
      </c>
      <c r="R37" s="187" t="s">
        <v>67</v>
      </c>
      <c r="S37" s="187" t="s">
        <v>82</v>
      </c>
      <c r="T37" s="187" t="s">
        <v>7</v>
      </c>
      <c r="U37" s="187" t="s">
        <v>67</v>
      </c>
      <c r="V37" s="256" t="s">
        <v>81</v>
      </c>
      <c r="W37" s="339" t="s">
        <v>67</v>
      </c>
      <c r="X37" s="325" t="s">
        <v>80</v>
      </c>
      <c r="Y37" s="187" t="s">
        <v>80</v>
      </c>
      <c r="Z37" s="187" t="s">
        <v>80</v>
      </c>
      <c r="AA37" s="187" t="s">
        <v>7</v>
      </c>
      <c r="AB37" s="187" t="s">
        <v>82</v>
      </c>
      <c r="AC37" s="187" t="s">
        <v>66</v>
      </c>
      <c r="AD37" s="339" t="s">
        <v>66</v>
      </c>
      <c r="AE37" s="197">
        <f t="shared" si="0"/>
        <v>11</v>
      </c>
      <c r="AF37" s="201">
        <f t="shared" si="18"/>
        <v>5</v>
      </c>
      <c r="AG37" s="106"/>
      <c r="AH37" s="110"/>
      <c r="AI37" s="106"/>
      <c r="AJ37" s="106"/>
      <c r="AK37" s="176">
        <f t="shared" si="1"/>
        <v>1</v>
      </c>
      <c r="AL37" s="38">
        <f t="shared" si="2"/>
        <v>1</v>
      </c>
      <c r="AM37" s="75">
        <f t="shared" si="22"/>
        <v>1</v>
      </c>
      <c r="AN37" s="75">
        <f t="shared" si="22"/>
        <v>1</v>
      </c>
      <c r="AO37" s="75">
        <f t="shared" si="23"/>
        <v>1</v>
      </c>
      <c r="AP37" s="75">
        <f t="shared" si="23"/>
        <v>1</v>
      </c>
      <c r="AQ37" s="75">
        <f t="shared" si="24"/>
        <v>1</v>
      </c>
      <c r="AR37" s="179">
        <f t="shared" si="24"/>
        <v>1</v>
      </c>
      <c r="AS37" s="126" t="s">
        <v>43</v>
      </c>
      <c r="AT37" s="17">
        <f t="shared" si="6"/>
        <v>0</v>
      </c>
      <c r="AU37" s="17">
        <f t="shared" si="7"/>
        <v>0</v>
      </c>
      <c r="AV37" s="17">
        <f t="shared" si="8"/>
        <v>0</v>
      </c>
      <c r="AW37" s="11">
        <f t="shared" si="9"/>
        <v>0</v>
      </c>
      <c r="AX37" s="11">
        <f t="shared" si="10"/>
        <v>0</v>
      </c>
      <c r="AY37" s="11">
        <f t="shared" si="11"/>
        <v>0</v>
      </c>
      <c r="AZ37" s="11">
        <f t="shared" si="12"/>
        <v>4</v>
      </c>
      <c r="BA37" s="11">
        <f t="shared" si="13"/>
        <v>2</v>
      </c>
      <c r="BB37" s="11">
        <f t="shared" si="19"/>
        <v>0</v>
      </c>
      <c r="BC37" s="11">
        <f t="shared" si="20"/>
        <v>1</v>
      </c>
      <c r="BD37" s="11">
        <f t="shared" si="14"/>
        <v>4</v>
      </c>
      <c r="BE37" s="28">
        <f t="shared" si="15"/>
        <v>11</v>
      </c>
      <c r="BF37" s="29">
        <f t="shared" si="16"/>
        <v>4</v>
      </c>
      <c r="BG37" s="11">
        <f t="shared" si="17"/>
        <v>11</v>
      </c>
    </row>
    <row r="38" spans="1:59">
      <c r="A38" s="126" t="s">
        <v>44</v>
      </c>
      <c r="B38" s="62"/>
      <c r="C38" s="337" t="s">
        <v>7</v>
      </c>
      <c r="D38" s="187" t="s">
        <v>67</v>
      </c>
      <c r="E38" s="187" t="s">
        <v>82</v>
      </c>
      <c r="F38" s="187" t="s">
        <v>66</v>
      </c>
      <c r="G38" s="187" t="s">
        <v>66</v>
      </c>
      <c r="H38" s="187" t="s">
        <v>67</v>
      </c>
      <c r="I38" s="308" t="s">
        <v>67</v>
      </c>
      <c r="J38" s="309" t="s">
        <v>7</v>
      </c>
      <c r="K38" s="187" t="s">
        <v>67</v>
      </c>
      <c r="L38" s="187" t="s">
        <v>67</v>
      </c>
      <c r="M38" s="187" t="s">
        <v>67</v>
      </c>
      <c r="N38" s="187" t="s">
        <v>82</v>
      </c>
      <c r="O38" s="187" t="s">
        <v>80</v>
      </c>
      <c r="P38" s="339" t="s">
        <v>80</v>
      </c>
      <c r="Q38" s="309" t="s">
        <v>7</v>
      </c>
      <c r="R38" s="187" t="s">
        <v>69</v>
      </c>
      <c r="S38" s="256" t="s">
        <v>81</v>
      </c>
      <c r="T38" s="256" t="s">
        <v>66</v>
      </c>
      <c r="U38" s="256" t="s">
        <v>80</v>
      </c>
      <c r="V38" s="256" t="s">
        <v>84</v>
      </c>
      <c r="W38" s="339" t="s">
        <v>82</v>
      </c>
      <c r="X38" s="309" t="s">
        <v>7</v>
      </c>
      <c r="Y38" s="187" t="s">
        <v>66</v>
      </c>
      <c r="Z38" s="187" t="s">
        <v>66</v>
      </c>
      <c r="AA38" s="187" t="s">
        <v>66</v>
      </c>
      <c r="AB38" s="187" t="s">
        <v>80</v>
      </c>
      <c r="AC38" s="187" t="s">
        <v>80</v>
      </c>
      <c r="AD38" s="339" t="s">
        <v>82</v>
      </c>
      <c r="AE38" s="197">
        <f t="shared" si="0"/>
        <v>11</v>
      </c>
      <c r="AF38" s="201">
        <f t="shared" si="18"/>
        <v>5</v>
      </c>
      <c r="AG38" s="106"/>
      <c r="AH38" s="110"/>
      <c r="AI38" s="106"/>
      <c r="AJ38" s="106"/>
      <c r="AK38" s="176">
        <f t="shared" si="1"/>
        <v>1</v>
      </c>
      <c r="AL38" s="38">
        <f t="shared" si="2"/>
        <v>1</v>
      </c>
      <c r="AM38" s="75">
        <f t="shared" si="22"/>
        <v>1</v>
      </c>
      <c r="AN38" s="75">
        <f t="shared" si="22"/>
        <v>1</v>
      </c>
      <c r="AO38" s="75">
        <f t="shared" si="23"/>
        <v>1</v>
      </c>
      <c r="AP38" s="75">
        <f t="shared" si="23"/>
        <v>1</v>
      </c>
      <c r="AQ38" s="75">
        <f t="shared" si="24"/>
        <v>1</v>
      </c>
      <c r="AR38" s="179">
        <f t="shared" si="24"/>
        <v>1</v>
      </c>
      <c r="AS38" s="126" t="s">
        <v>44</v>
      </c>
      <c r="AT38" s="17">
        <f t="shared" si="6"/>
        <v>1</v>
      </c>
      <c r="AU38" s="17">
        <f t="shared" si="7"/>
        <v>0</v>
      </c>
      <c r="AV38" s="17">
        <f t="shared" si="8"/>
        <v>0</v>
      </c>
      <c r="AW38" s="11">
        <f t="shared" si="9"/>
        <v>0</v>
      </c>
      <c r="AX38" s="11">
        <f t="shared" si="10"/>
        <v>1</v>
      </c>
      <c r="AY38" s="11">
        <f t="shared" si="11"/>
        <v>0</v>
      </c>
      <c r="AZ38" s="11">
        <f t="shared" si="12"/>
        <v>4</v>
      </c>
      <c r="BA38" s="11">
        <f t="shared" si="13"/>
        <v>1</v>
      </c>
      <c r="BB38" s="11">
        <f t="shared" si="19"/>
        <v>0</v>
      </c>
      <c r="BC38" s="11">
        <f t="shared" si="20"/>
        <v>0</v>
      </c>
      <c r="BD38" s="11">
        <f t="shared" si="14"/>
        <v>4</v>
      </c>
      <c r="BE38" s="28">
        <f t="shared" si="15"/>
        <v>10</v>
      </c>
      <c r="BF38" s="29">
        <f t="shared" si="16"/>
        <v>5</v>
      </c>
      <c r="BG38" s="11">
        <f t="shared" si="17"/>
        <v>10</v>
      </c>
    </row>
    <row r="39" spans="1:59">
      <c r="A39" s="126" t="s">
        <v>45</v>
      </c>
      <c r="B39" s="62"/>
      <c r="C39" s="337" t="s">
        <v>80</v>
      </c>
      <c r="D39" s="187" t="s">
        <v>7</v>
      </c>
      <c r="E39" s="187" t="s">
        <v>82</v>
      </c>
      <c r="F39" s="187" t="s">
        <v>67</v>
      </c>
      <c r="G39" s="187" t="s">
        <v>69</v>
      </c>
      <c r="H39" s="187" t="s">
        <v>80</v>
      </c>
      <c r="I39" s="308" t="s">
        <v>80</v>
      </c>
      <c r="J39" s="309" t="s">
        <v>82</v>
      </c>
      <c r="K39" s="187" t="s">
        <v>7</v>
      </c>
      <c r="L39" s="187" t="s">
        <v>97</v>
      </c>
      <c r="M39" s="256" t="s">
        <v>66</v>
      </c>
      <c r="N39" s="256" t="s">
        <v>66</v>
      </c>
      <c r="O39" s="256" t="s">
        <v>66</v>
      </c>
      <c r="P39" s="339" t="s">
        <v>84</v>
      </c>
      <c r="Q39" s="309" t="s">
        <v>67</v>
      </c>
      <c r="R39" s="187" t="s">
        <v>7</v>
      </c>
      <c r="S39" s="256" t="s">
        <v>66</v>
      </c>
      <c r="T39" s="256" t="s">
        <v>67</v>
      </c>
      <c r="U39" s="256" t="s">
        <v>82</v>
      </c>
      <c r="V39" s="256" t="s">
        <v>67</v>
      </c>
      <c r="W39" s="339" t="s">
        <v>80</v>
      </c>
      <c r="X39" s="309" t="s">
        <v>80</v>
      </c>
      <c r="Y39" s="187" t="s">
        <v>7</v>
      </c>
      <c r="Z39" s="187" t="s">
        <v>82</v>
      </c>
      <c r="AA39" s="257" t="s">
        <v>66</v>
      </c>
      <c r="AB39" s="187" t="s">
        <v>66</v>
      </c>
      <c r="AC39" s="187" t="s">
        <v>67</v>
      </c>
      <c r="AD39" s="340" t="s">
        <v>67</v>
      </c>
      <c r="AE39" s="197">
        <f t="shared" si="0"/>
        <v>11</v>
      </c>
      <c r="AF39" s="201">
        <f t="shared" si="18"/>
        <v>5</v>
      </c>
      <c r="AG39" s="106"/>
      <c r="AH39" s="110"/>
      <c r="AI39" s="106"/>
      <c r="AJ39" s="106"/>
      <c r="AK39" s="176">
        <f>COUNTIF($C39:$I39,AK$6)</f>
        <v>1</v>
      </c>
      <c r="AL39" s="38">
        <f>COUNTIF($C39:$I39,AL$6&amp;"*")</f>
        <v>1</v>
      </c>
      <c r="AM39" s="75">
        <f>COUNTIF($J39:$P39,AM$6)</f>
        <v>1</v>
      </c>
      <c r="AN39" s="75">
        <f>COUNTIF($J39:$P39,AN$6)</f>
        <v>1</v>
      </c>
      <c r="AO39" s="75">
        <f>COUNTIF($Q39:$W39,AO$6)</f>
        <v>1</v>
      </c>
      <c r="AP39" s="75">
        <f>COUNTIF($Q39:$W39,AP$6)</f>
        <v>1</v>
      </c>
      <c r="AQ39" s="75">
        <f>COUNTIF($X39:$AD39,AQ$6)</f>
        <v>1</v>
      </c>
      <c r="AR39" s="179">
        <f>COUNTIF($X39:$AD39,AR$6)</f>
        <v>1</v>
      </c>
      <c r="AS39" s="126" t="s">
        <v>45</v>
      </c>
      <c r="AT39" s="17">
        <f t="shared" si="6"/>
        <v>1</v>
      </c>
      <c r="AU39" s="17">
        <f t="shared" si="7"/>
        <v>0</v>
      </c>
      <c r="AV39" s="17">
        <f t="shared" si="8"/>
        <v>0</v>
      </c>
      <c r="AW39" s="11">
        <f t="shared" si="9"/>
        <v>0</v>
      </c>
      <c r="AX39" s="11">
        <f t="shared" si="10"/>
        <v>1</v>
      </c>
      <c r="AY39" s="11">
        <f t="shared" si="11"/>
        <v>0</v>
      </c>
      <c r="AZ39" s="11">
        <f t="shared" si="12"/>
        <v>4</v>
      </c>
      <c r="BA39" s="11">
        <f t="shared" si="13"/>
        <v>0</v>
      </c>
      <c r="BB39" s="11">
        <f t="shared" si="19"/>
        <v>0</v>
      </c>
      <c r="BC39" s="11">
        <f t="shared" si="20"/>
        <v>1</v>
      </c>
      <c r="BD39" s="11">
        <f t="shared" si="14"/>
        <v>4</v>
      </c>
      <c r="BE39" s="28">
        <f t="shared" si="15"/>
        <v>10</v>
      </c>
      <c r="BF39" s="29">
        <f t="shared" si="16"/>
        <v>2</v>
      </c>
      <c r="BG39" s="11">
        <f t="shared" si="17"/>
        <v>10</v>
      </c>
    </row>
    <row r="40" spans="1:59">
      <c r="A40" s="126" t="s">
        <v>46</v>
      </c>
      <c r="B40" s="62"/>
      <c r="C40" s="341" t="s">
        <v>12</v>
      </c>
      <c r="D40" s="187" t="s">
        <v>80</v>
      </c>
      <c r="E40" s="187" t="s">
        <v>80</v>
      </c>
      <c r="F40" s="187" t="s">
        <v>89</v>
      </c>
      <c r="G40" s="187" t="s">
        <v>7</v>
      </c>
      <c r="H40" s="187" t="s">
        <v>66</v>
      </c>
      <c r="I40" s="308" t="s">
        <v>66</v>
      </c>
      <c r="J40" s="309" t="s">
        <v>67</v>
      </c>
      <c r="K40" s="187" t="s">
        <v>80</v>
      </c>
      <c r="L40" s="187" t="s">
        <v>80</v>
      </c>
      <c r="M40" s="257" t="s">
        <v>82</v>
      </c>
      <c r="N40" s="187" t="s">
        <v>7</v>
      </c>
      <c r="O40" s="187" t="s">
        <v>66</v>
      </c>
      <c r="P40" s="339" t="s">
        <v>66</v>
      </c>
      <c r="Q40" s="309" t="s">
        <v>66</v>
      </c>
      <c r="R40" s="256" t="s">
        <v>66</v>
      </c>
      <c r="S40" s="256" t="s">
        <v>67</v>
      </c>
      <c r="T40" s="256" t="s">
        <v>82</v>
      </c>
      <c r="U40" s="256" t="s">
        <v>7</v>
      </c>
      <c r="V40" s="256" t="s">
        <v>66</v>
      </c>
      <c r="W40" s="339" t="s">
        <v>66</v>
      </c>
      <c r="X40" s="309" t="s">
        <v>66</v>
      </c>
      <c r="Y40" s="187" t="s">
        <v>81</v>
      </c>
      <c r="Z40" s="187" t="s">
        <v>82</v>
      </c>
      <c r="AA40" s="256" t="s">
        <v>80</v>
      </c>
      <c r="AB40" s="187" t="s">
        <v>7</v>
      </c>
      <c r="AC40" s="187" t="s">
        <v>67</v>
      </c>
      <c r="AD40" s="339" t="s">
        <v>84</v>
      </c>
      <c r="AE40" s="197">
        <f t="shared" si="0"/>
        <v>11</v>
      </c>
      <c r="AF40" s="201">
        <f t="shared" si="18"/>
        <v>5</v>
      </c>
      <c r="AG40" s="106"/>
      <c r="AH40" s="110"/>
      <c r="AI40" s="106"/>
      <c r="AJ40" s="106"/>
      <c r="AK40" s="176">
        <f>COUNTIF($C40:$I40,AK$6)</f>
        <v>1</v>
      </c>
      <c r="AL40" s="38">
        <f>COUNTIF($C40:$I40,AL$6&amp;"*")</f>
        <v>1</v>
      </c>
      <c r="AM40" s="75">
        <f>COUNTIF($J40:$P40,AM$6)</f>
        <v>1</v>
      </c>
      <c r="AN40" s="75">
        <f>COUNTIF($J40:$P40,AN$6)</f>
        <v>1</v>
      </c>
      <c r="AO40" s="75">
        <f>COUNTIF($Q40:$W40,AO$6)</f>
        <v>1</v>
      </c>
      <c r="AP40" s="75">
        <f>COUNTIF($Q40:$W40,AP$6)</f>
        <v>1</v>
      </c>
      <c r="AQ40" s="75">
        <f>COUNTIF($X40:$AD40,AQ$6)</f>
        <v>1</v>
      </c>
      <c r="AR40" s="179">
        <f>COUNTIF($X40:$AD40,AR$6)</f>
        <v>1</v>
      </c>
      <c r="AS40" s="126" t="s">
        <v>46</v>
      </c>
      <c r="AT40" s="17">
        <f t="shared" si="6"/>
        <v>1</v>
      </c>
      <c r="AU40" s="17">
        <f t="shared" si="7"/>
        <v>0</v>
      </c>
      <c r="AV40" s="17">
        <f t="shared" si="8"/>
        <v>0</v>
      </c>
      <c r="AW40" s="11">
        <f t="shared" si="9"/>
        <v>0</v>
      </c>
      <c r="AX40" s="11">
        <f t="shared" si="10"/>
        <v>1</v>
      </c>
      <c r="AY40" s="11">
        <f t="shared" si="11"/>
        <v>0</v>
      </c>
      <c r="AZ40" s="11">
        <f t="shared" si="12"/>
        <v>4</v>
      </c>
      <c r="BA40" s="11">
        <f t="shared" si="13"/>
        <v>1</v>
      </c>
      <c r="BB40" s="11">
        <f t="shared" si="19"/>
        <v>0</v>
      </c>
      <c r="BC40" s="11">
        <f t="shared" si="20"/>
        <v>0</v>
      </c>
      <c r="BD40" s="11">
        <f t="shared" si="14"/>
        <v>4</v>
      </c>
      <c r="BE40" s="28">
        <f t="shared" si="15"/>
        <v>10</v>
      </c>
      <c r="BF40" s="29">
        <f t="shared" si="16"/>
        <v>3</v>
      </c>
      <c r="BG40" s="11">
        <f t="shared" si="17"/>
        <v>10</v>
      </c>
    </row>
    <row r="41" spans="1:59">
      <c r="A41" s="126" t="s">
        <v>47</v>
      </c>
      <c r="B41" s="62"/>
      <c r="C41" s="342" t="s">
        <v>66</v>
      </c>
      <c r="D41" s="256" t="s">
        <v>66</v>
      </c>
      <c r="E41" s="258" t="s">
        <v>14</v>
      </c>
      <c r="F41" s="187" t="s">
        <v>80</v>
      </c>
      <c r="G41" s="187" t="s">
        <v>80</v>
      </c>
      <c r="H41" s="187" t="s">
        <v>7</v>
      </c>
      <c r="I41" s="310" t="s">
        <v>5</v>
      </c>
      <c r="J41" s="325" t="s">
        <v>66</v>
      </c>
      <c r="K41" s="187" t="s">
        <v>67</v>
      </c>
      <c r="L41" s="187" t="s">
        <v>67</v>
      </c>
      <c r="M41" s="257" t="s">
        <v>82</v>
      </c>
      <c r="N41" s="256" t="s">
        <v>81</v>
      </c>
      <c r="O41" s="187" t="s">
        <v>65</v>
      </c>
      <c r="P41" s="339" t="s">
        <v>81</v>
      </c>
      <c r="Q41" s="325" t="s">
        <v>67</v>
      </c>
      <c r="R41" s="256" t="s">
        <v>80</v>
      </c>
      <c r="S41" s="256" t="s">
        <v>80</v>
      </c>
      <c r="T41" s="256" t="s">
        <v>80</v>
      </c>
      <c r="U41" s="256" t="s">
        <v>82</v>
      </c>
      <c r="V41" s="256" t="s">
        <v>7</v>
      </c>
      <c r="W41" s="339" t="s">
        <v>66</v>
      </c>
      <c r="X41" s="325" t="s">
        <v>66</v>
      </c>
      <c r="Y41" s="187" t="s">
        <v>67</v>
      </c>
      <c r="Z41" s="187" t="s">
        <v>67</v>
      </c>
      <c r="AA41" s="257" t="s">
        <v>82</v>
      </c>
      <c r="AB41" s="187" t="s">
        <v>67</v>
      </c>
      <c r="AC41" s="187" t="s">
        <v>7</v>
      </c>
      <c r="AD41" s="339" t="s">
        <v>80</v>
      </c>
      <c r="AE41" s="197">
        <f t="shared" si="0"/>
        <v>11</v>
      </c>
      <c r="AF41" s="201">
        <f t="shared" si="18"/>
        <v>6</v>
      </c>
      <c r="AG41" s="106"/>
      <c r="AH41" s="110"/>
      <c r="AI41" s="106"/>
      <c r="AJ41" s="106"/>
      <c r="AK41" s="176">
        <f t="shared" ref="AK41:AK43" si="54">COUNTIF($C41:$I41,AK$6)</f>
        <v>1</v>
      </c>
      <c r="AL41" s="38">
        <f t="shared" ref="AL41:AL43" si="55">COUNTIF($C41:$I41,AL$6&amp;"*")</f>
        <v>1</v>
      </c>
      <c r="AM41" s="75">
        <f t="shared" ref="AM41:AN43" si="56">COUNTIF($J41:$P41,AM$6)</f>
        <v>1</v>
      </c>
      <c r="AN41" s="75">
        <f t="shared" si="56"/>
        <v>1</v>
      </c>
      <c r="AO41" s="75">
        <f t="shared" ref="AO41:AP43" si="57">COUNTIF($Q41:$W41,AO$6)</f>
        <v>1</v>
      </c>
      <c r="AP41" s="75">
        <f t="shared" si="57"/>
        <v>1</v>
      </c>
      <c r="AQ41" s="75">
        <f t="shared" ref="AQ41:AR43" si="58">COUNTIF($X41:$AD41,AQ$6)</f>
        <v>1</v>
      </c>
      <c r="AR41" s="179">
        <f t="shared" si="58"/>
        <v>1</v>
      </c>
      <c r="AS41" s="126" t="s">
        <v>47</v>
      </c>
      <c r="AT41" s="17">
        <f t="shared" si="6"/>
        <v>0</v>
      </c>
      <c r="AU41" s="17">
        <f t="shared" si="7"/>
        <v>0</v>
      </c>
      <c r="AV41" s="17">
        <f t="shared" si="8"/>
        <v>0</v>
      </c>
      <c r="AW41" s="11">
        <f t="shared" si="9"/>
        <v>0</v>
      </c>
      <c r="AX41" s="11">
        <f t="shared" si="10"/>
        <v>0</v>
      </c>
      <c r="AY41" s="11">
        <f t="shared" si="11"/>
        <v>0</v>
      </c>
      <c r="AZ41" s="11">
        <f t="shared" si="12"/>
        <v>4</v>
      </c>
      <c r="BA41" s="11">
        <f t="shared" si="13"/>
        <v>3</v>
      </c>
      <c r="BB41" s="11">
        <f t="shared" si="19"/>
        <v>0</v>
      </c>
      <c r="BC41" s="11">
        <f t="shared" si="20"/>
        <v>0</v>
      </c>
      <c r="BD41" s="11">
        <f t="shared" si="14"/>
        <v>4</v>
      </c>
      <c r="BE41" s="28">
        <f t="shared" si="15"/>
        <v>11</v>
      </c>
      <c r="BF41" s="29">
        <f t="shared" si="16"/>
        <v>4</v>
      </c>
      <c r="BG41" s="11">
        <f t="shared" si="17"/>
        <v>11</v>
      </c>
    </row>
    <row r="42" spans="1:59" ht="17.25" thickBot="1">
      <c r="A42" s="126" t="s">
        <v>48</v>
      </c>
      <c r="B42" s="62"/>
      <c r="C42" s="342" t="s">
        <v>67</v>
      </c>
      <c r="D42" s="256" t="s">
        <v>67</v>
      </c>
      <c r="E42" s="256" t="s">
        <v>67</v>
      </c>
      <c r="F42" s="256" t="s">
        <v>89</v>
      </c>
      <c r="G42" s="256" t="s">
        <v>66</v>
      </c>
      <c r="H42" s="256" t="s">
        <v>66</v>
      </c>
      <c r="I42" s="308" t="s">
        <v>7</v>
      </c>
      <c r="J42" s="325" t="s">
        <v>66</v>
      </c>
      <c r="K42" s="187" t="s">
        <v>66</v>
      </c>
      <c r="L42" s="258" t="s">
        <v>20</v>
      </c>
      <c r="M42" s="257" t="s">
        <v>80</v>
      </c>
      <c r="N42" s="187" t="s">
        <v>82</v>
      </c>
      <c r="O42" s="187" t="s">
        <v>67</v>
      </c>
      <c r="P42" s="339" t="s">
        <v>7</v>
      </c>
      <c r="Q42" s="325" t="s">
        <v>66</v>
      </c>
      <c r="R42" s="256" t="s">
        <v>66</v>
      </c>
      <c r="S42" s="256" t="s">
        <v>80</v>
      </c>
      <c r="T42" s="256" t="s">
        <v>80</v>
      </c>
      <c r="U42" s="256" t="s">
        <v>81</v>
      </c>
      <c r="V42" s="256" t="s">
        <v>82</v>
      </c>
      <c r="W42" s="339" t="s">
        <v>7</v>
      </c>
      <c r="X42" s="325" t="s">
        <v>66</v>
      </c>
      <c r="Y42" s="256" t="s">
        <v>80</v>
      </c>
      <c r="Z42" s="256" t="s">
        <v>80</v>
      </c>
      <c r="AA42" s="256" t="s">
        <v>81</v>
      </c>
      <c r="AB42" s="187" t="s">
        <v>82</v>
      </c>
      <c r="AC42" s="187" t="s">
        <v>81</v>
      </c>
      <c r="AD42" s="339" t="s">
        <v>7</v>
      </c>
      <c r="AE42" s="197">
        <f t="shared" si="0"/>
        <v>11</v>
      </c>
      <c r="AF42" s="201">
        <f t="shared" si="18"/>
        <v>5</v>
      </c>
      <c r="AG42" s="106"/>
      <c r="AH42" s="110"/>
      <c r="AI42" s="106"/>
      <c r="AJ42" s="106"/>
      <c r="AK42" s="177">
        <f t="shared" si="54"/>
        <v>1</v>
      </c>
      <c r="AL42" s="53">
        <f t="shared" si="55"/>
        <v>1</v>
      </c>
      <c r="AM42" s="79">
        <f t="shared" si="56"/>
        <v>1</v>
      </c>
      <c r="AN42" s="79">
        <f t="shared" si="56"/>
        <v>1</v>
      </c>
      <c r="AO42" s="79">
        <f t="shared" si="57"/>
        <v>1</v>
      </c>
      <c r="AP42" s="79">
        <f t="shared" si="57"/>
        <v>1</v>
      </c>
      <c r="AQ42" s="79">
        <f t="shared" si="58"/>
        <v>1</v>
      </c>
      <c r="AR42" s="180">
        <f t="shared" si="58"/>
        <v>1</v>
      </c>
      <c r="AS42" s="126" t="s">
        <v>48</v>
      </c>
      <c r="AT42" s="17">
        <f t="shared" si="6"/>
        <v>0</v>
      </c>
      <c r="AU42" s="17">
        <f t="shared" si="7"/>
        <v>0</v>
      </c>
      <c r="AV42" s="17">
        <f t="shared" si="8"/>
        <v>0</v>
      </c>
      <c r="AW42" s="11">
        <f t="shared" si="9"/>
        <v>0</v>
      </c>
      <c r="AX42" s="11">
        <f t="shared" si="10"/>
        <v>0</v>
      </c>
      <c r="AY42" s="11">
        <f t="shared" si="11"/>
        <v>0</v>
      </c>
      <c r="AZ42" s="11">
        <f t="shared" si="12"/>
        <v>4</v>
      </c>
      <c r="BA42" s="11">
        <f t="shared" si="13"/>
        <v>3</v>
      </c>
      <c r="BB42" s="11">
        <f t="shared" si="19"/>
        <v>0</v>
      </c>
      <c r="BC42" s="11">
        <f t="shared" si="20"/>
        <v>0</v>
      </c>
      <c r="BD42" s="11">
        <f t="shared" si="14"/>
        <v>4</v>
      </c>
      <c r="BE42" s="28">
        <f t="shared" si="15"/>
        <v>11</v>
      </c>
      <c r="BF42" s="29">
        <f t="shared" si="16"/>
        <v>5</v>
      </c>
      <c r="BG42" s="11">
        <f t="shared" si="17"/>
        <v>11</v>
      </c>
    </row>
    <row r="43" spans="1:59" ht="17.25" thickBot="1">
      <c r="A43" s="126" t="s">
        <v>49</v>
      </c>
      <c r="B43" s="62"/>
      <c r="C43" s="337" t="s">
        <v>67</v>
      </c>
      <c r="D43" s="187" t="s">
        <v>67</v>
      </c>
      <c r="E43" s="187" t="s">
        <v>80</v>
      </c>
      <c r="F43" s="187" t="s">
        <v>80</v>
      </c>
      <c r="G43" s="187" t="s">
        <v>80</v>
      </c>
      <c r="H43" s="187" t="s">
        <v>7</v>
      </c>
      <c r="I43" s="308" t="s">
        <v>82</v>
      </c>
      <c r="J43" s="325" t="s">
        <v>67</v>
      </c>
      <c r="K43" s="187" t="s">
        <v>80</v>
      </c>
      <c r="L43" s="187" t="s">
        <v>81</v>
      </c>
      <c r="M43" s="257" t="s">
        <v>69</v>
      </c>
      <c r="N43" s="187" t="s">
        <v>82</v>
      </c>
      <c r="O43" s="187" t="s">
        <v>7</v>
      </c>
      <c r="P43" s="339" t="s">
        <v>66</v>
      </c>
      <c r="Q43" s="325" t="s">
        <v>67</v>
      </c>
      <c r="R43" s="256" t="s">
        <v>67</v>
      </c>
      <c r="S43" s="256" t="s">
        <v>81</v>
      </c>
      <c r="T43" s="256" t="s">
        <v>80</v>
      </c>
      <c r="U43" s="256" t="s">
        <v>80</v>
      </c>
      <c r="V43" s="256" t="s">
        <v>7</v>
      </c>
      <c r="W43" s="339" t="s">
        <v>82</v>
      </c>
      <c r="X43" s="325" t="s">
        <v>67</v>
      </c>
      <c r="Y43" s="256" t="s">
        <v>67</v>
      </c>
      <c r="Z43" s="256" t="s">
        <v>67</v>
      </c>
      <c r="AA43" s="257" t="s">
        <v>82</v>
      </c>
      <c r="AB43" s="187" t="s">
        <v>67</v>
      </c>
      <c r="AC43" s="187" t="s">
        <v>7</v>
      </c>
      <c r="AD43" s="338" t="s">
        <v>67</v>
      </c>
      <c r="AE43" s="197">
        <f t="shared" si="0"/>
        <v>11</v>
      </c>
      <c r="AF43" s="201">
        <f t="shared" si="18"/>
        <v>6</v>
      </c>
      <c r="AG43" s="106"/>
      <c r="AH43" s="110"/>
      <c r="AI43" s="106"/>
      <c r="AJ43" s="106"/>
      <c r="AK43" s="170">
        <f t="shared" si="54"/>
        <v>1</v>
      </c>
      <c r="AL43" s="171">
        <f t="shared" si="55"/>
        <v>1</v>
      </c>
      <c r="AM43" s="172">
        <f t="shared" si="56"/>
        <v>1</v>
      </c>
      <c r="AN43" s="172">
        <f t="shared" si="56"/>
        <v>1</v>
      </c>
      <c r="AO43" s="172">
        <f t="shared" si="57"/>
        <v>1</v>
      </c>
      <c r="AP43" s="172">
        <f t="shared" si="57"/>
        <v>1</v>
      </c>
      <c r="AQ43" s="172">
        <f t="shared" si="58"/>
        <v>1</v>
      </c>
      <c r="AR43" s="173">
        <f t="shared" si="58"/>
        <v>1</v>
      </c>
      <c r="AS43" s="126" t="s">
        <v>49</v>
      </c>
      <c r="AT43" s="17">
        <f t="shared" si="6"/>
        <v>0</v>
      </c>
      <c r="AU43" s="17">
        <f t="shared" si="7"/>
        <v>0</v>
      </c>
      <c r="AV43" s="17">
        <f t="shared" si="8"/>
        <v>0</v>
      </c>
      <c r="AW43" s="11">
        <f t="shared" si="9"/>
        <v>0</v>
      </c>
      <c r="AX43" s="11">
        <f t="shared" si="10"/>
        <v>1</v>
      </c>
      <c r="AY43" s="11">
        <f t="shared" si="11"/>
        <v>0</v>
      </c>
      <c r="AZ43" s="11">
        <f t="shared" si="12"/>
        <v>4</v>
      </c>
      <c r="BA43" s="11">
        <f t="shared" si="13"/>
        <v>2</v>
      </c>
      <c r="BB43" s="11">
        <f t="shared" si="19"/>
        <v>0</v>
      </c>
      <c r="BC43" s="11">
        <f t="shared" si="20"/>
        <v>0</v>
      </c>
      <c r="BD43" s="11">
        <f t="shared" si="14"/>
        <v>4</v>
      </c>
      <c r="BE43" s="28">
        <f t="shared" si="15"/>
        <v>11</v>
      </c>
      <c r="BF43" s="29">
        <f t="shared" si="16"/>
        <v>3</v>
      </c>
      <c r="BG43" s="11">
        <f t="shared" si="17"/>
        <v>11</v>
      </c>
    </row>
    <row r="44" spans="1:59" ht="17.25" thickBot="1">
      <c r="A44" s="224" t="s">
        <v>50</v>
      </c>
      <c r="B44" s="69"/>
      <c r="C44" s="343" t="s">
        <v>7</v>
      </c>
      <c r="D44" s="330" t="s">
        <v>82</v>
      </c>
      <c r="E44" s="330" t="s">
        <v>69</v>
      </c>
      <c r="F44" s="330" t="s">
        <v>67</v>
      </c>
      <c r="G44" s="330" t="s">
        <v>67</v>
      </c>
      <c r="H44" s="330" t="s">
        <v>67</v>
      </c>
      <c r="I44" s="331" t="s">
        <v>67</v>
      </c>
      <c r="J44" s="344" t="s">
        <v>7</v>
      </c>
      <c r="K44" s="330" t="s">
        <v>67</v>
      </c>
      <c r="L44" s="345" t="s">
        <v>80</v>
      </c>
      <c r="M44" s="346" t="s">
        <v>82</v>
      </c>
      <c r="N44" s="330" t="s">
        <v>67</v>
      </c>
      <c r="O44" s="330" t="s">
        <v>67</v>
      </c>
      <c r="P44" s="348" t="s">
        <v>67</v>
      </c>
      <c r="Q44" s="347" t="s">
        <v>7</v>
      </c>
      <c r="R44" s="330" t="s">
        <v>82</v>
      </c>
      <c r="S44" s="330" t="s">
        <v>67</v>
      </c>
      <c r="T44" s="330" t="s">
        <v>67</v>
      </c>
      <c r="U44" s="330" t="s">
        <v>67</v>
      </c>
      <c r="V44" s="330" t="s">
        <v>80</v>
      </c>
      <c r="W44" s="348" t="s">
        <v>80</v>
      </c>
      <c r="X44" s="347" t="s">
        <v>7</v>
      </c>
      <c r="Y44" s="330" t="s">
        <v>82</v>
      </c>
      <c r="Z44" s="330" t="s">
        <v>81</v>
      </c>
      <c r="AA44" s="346" t="s">
        <v>81</v>
      </c>
      <c r="AB44" s="330" t="s">
        <v>80</v>
      </c>
      <c r="AC44" s="330" t="s">
        <v>80</v>
      </c>
      <c r="AD44" s="348" t="s">
        <v>80</v>
      </c>
      <c r="AE44" s="202">
        <f t="shared" si="0"/>
        <v>11</v>
      </c>
      <c r="AF44" s="203">
        <f t="shared" si="18"/>
        <v>6</v>
      </c>
      <c r="AG44" s="106"/>
      <c r="AH44" s="110"/>
      <c r="AI44" s="106"/>
      <c r="AJ44" s="106"/>
      <c r="AK44" s="78">
        <f>COUNTIF($C44:$I44,AK$6)</f>
        <v>1</v>
      </c>
      <c r="AL44" s="53">
        <f>COUNTIF($C44:$I44,AL$6&amp;"*")</f>
        <v>1</v>
      </c>
      <c r="AM44" s="79">
        <f>COUNTIF($J44:$P44,AM$6)</f>
        <v>1</v>
      </c>
      <c r="AN44" s="79">
        <f>COUNTIF($J44:$P44,AN$6)</f>
        <v>1</v>
      </c>
      <c r="AO44" s="79">
        <f>COUNTIF($Q44:$W44,AO$6)</f>
        <v>1</v>
      </c>
      <c r="AP44" s="79">
        <f>COUNTIF($Q44:$W44,AP$6)</f>
        <v>1</v>
      </c>
      <c r="AQ44" s="79">
        <f>COUNTIF($X44:$AD44,AQ$6)</f>
        <v>1</v>
      </c>
      <c r="AR44" s="80">
        <f>COUNTIF($X44:$AD44,AR$6)</f>
        <v>1</v>
      </c>
      <c r="AS44" s="224" t="s">
        <v>50</v>
      </c>
      <c r="AT44" s="17">
        <f t="shared" si="6"/>
        <v>0</v>
      </c>
      <c r="AU44" s="17">
        <f t="shared" si="7"/>
        <v>0</v>
      </c>
      <c r="AV44" s="17">
        <f t="shared" si="8"/>
        <v>0</v>
      </c>
      <c r="AW44" s="11">
        <f t="shared" si="9"/>
        <v>0</v>
      </c>
      <c r="AX44" s="11">
        <f t="shared" si="10"/>
        <v>1</v>
      </c>
      <c r="AY44" s="11">
        <f t="shared" si="11"/>
        <v>0</v>
      </c>
      <c r="AZ44" s="11">
        <f t="shared" si="12"/>
        <v>4</v>
      </c>
      <c r="BA44" s="11">
        <f t="shared" si="13"/>
        <v>2</v>
      </c>
      <c r="BB44" s="11">
        <f t="shared" si="19"/>
        <v>0</v>
      </c>
      <c r="BC44" s="11">
        <f t="shared" si="20"/>
        <v>0</v>
      </c>
      <c r="BD44" s="11">
        <f t="shared" si="14"/>
        <v>4</v>
      </c>
      <c r="BE44" s="28">
        <f t="shared" si="15"/>
        <v>11</v>
      </c>
      <c r="BF44" s="29">
        <f t="shared" si="16"/>
        <v>6</v>
      </c>
      <c r="BG44" s="11">
        <f t="shared" si="17"/>
        <v>11</v>
      </c>
    </row>
    <row r="45" spans="1:59" ht="17.25" thickBot="1">
      <c r="A45" s="259" t="s">
        <v>51</v>
      </c>
      <c r="B45" s="263"/>
      <c r="C45" s="265"/>
      <c r="D45" s="266"/>
      <c r="E45" s="266"/>
      <c r="F45" s="266"/>
      <c r="G45" s="266"/>
      <c r="H45" s="266"/>
      <c r="I45" s="267"/>
      <c r="J45" s="265"/>
      <c r="K45" s="267"/>
      <c r="L45" s="266"/>
      <c r="M45" s="268"/>
      <c r="N45" s="266"/>
      <c r="O45" s="266"/>
      <c r="P45" s="267"/>
      <c r="Q45" s="265"/>
      <c r="R45" s="266"/>
      <c r="S45" s="266"/>
      <c r="T45" s="266"/>
      <c r="U45" s="266"/>
      <c r="V45" s="266"/>
      <c r="W45" s="267"/>
      <c r="X45" s="265"/>
      <c r="Y45" s="266"/>
      <c r="Z45" s="266"/>
      <c r="AA45" s="266"/>
      <c r="AB45" s="266"/>
      <c r="AC45" s="266"/>
      <c r="AD45" s="267"/>
      <c r="AE45" s="379">
        <f t="shared" si="0"/>
        <v>0</v>
      </c>
      <c r="AF45" s="380">
        <f t="shared" si="18"/>
        <v>0</v>
      </c>
      <c r="AG45" s="106"/>
      <c r="AH45" s="110"/>
      <c r="AI45" s="106"/>
      <c r="AJ45" s="106"/>
      <c r="AK45" s="78">
        <f t="shared" ref="AK45:AK48" si="59">COUNTIF($C45:$I45,AK$6)</f>
        <v>0</v>
      </c>
      <c r="AL45" s="53">
        <f t="shared" ref="AL45:AL48" si="60">COUNTIF($C45:$I45,AL$6&amp;"*")</f>
        <v>0</v>
      </c>
      <c r="AM45" s="79">
        <f t="shared" ref="AM45:AN48" si="61">COUNTIF($J45:$P45,AM$6)</f>
        <v>0</v>
      </c>
      <c r="AN45" s="79">
        <f t="shared" si="61"/>
        <v>0</v>
      </c>
      <c r="AO45" s="79">
        <f t="shared" ref="AO45:AP48" si="62">COUNTIF($Q45:$W45,AO$6)</f>
        <v>0</v>
      </c>
      <c r="AP45" s="79">
        <f t="shared" si="62"/>
        <v>0</v>
      </c>
      <c r="AQ45" s="79">
        <f t="shared" ref="AQ45:AR48" si="63">COUNTIF($X45:$AD45,AQ$6)</f>
        <v>0</v>
      </c>
      <c r="AR45" s="80">
        <f t="shared" si="63"/>
        <v>0</v>
      </c>
      <c r="AS45" s="259" t="s">
        <v>51</v>
      </c>
      <c r="AT45" s="17">
        <f t="shared" si="6"/>
        <v>0</v>
      </c>
      <c r="AU45" s="17">
        <f t="shared" si="7"/>
        <v>0</v>
      </c>
      <c r="AV45" s="17">
        <f t="shared" si="8"/>
        <v>0</v>
      </c>
      <c r="AW45" s="11">
        <f t="shared" si="9"/>
        <v>0</v>
      </c>
      <c r="AX45" s="11">
        <f t="shared" si="10"/>
        <v>0</v>
      </c>
      <c r="AY45" s="11">
        <f t="shared" si="11"/>
        <v>0</v>
      </c>
      <c r="AZ45" s="11">
        <f t="shared" si="12"/>
        <v>0</v>
      </c>
      <c r="BA45" s="11">
        <f t="shared" si="13"/>
        <v>0</v>
      </c>
      <c r="BB45" s="11">
        <f t="shared" si="19"/>
        <v>0</v>
      </c>
      <c r="BC45" s="11">
        <f t="shared" si="20"/>
        <v>0</v>
      </c>
      <c r="BD45" s="11">
        <f t="shared" si="14"/>
        <v>0</v>
      </c>
      <c r="BE45" s="28">
        <f t="shared" si="15"/>
        <v>0</v>
      </c>
      <c r="BF45" s="29">
        <f t="shared" si="16"/>
        <v>0</v>
      </c>
      <c r="BG45" s="11">
        <f t="shared" si="17"/>
        <v>0</v>
      </c>
    </row>
    <row r="46" spans="1:59" ht="17.25" thickBot="1">
      <c r="A46" s="260" t="s">
        <v>76</v>
      </c>
      <c r="B46" s="145"/>
      <c r="C46" s="269"/>
      <c r="D46" s="270"/>
      <c r="E46" s="270"/>
      <c r="F46" s="270"/>
      <c r="G46" s="270"/>
      <c r="H46" s="270"/>
      <c r="I46" s="271"/>
      <c r="J46" s="272"/>
      <c r="K46" s="270"/>
      <c r="L46" s="270"/>
      <c r="M46" s="270"/>
      <c r="N46" s="270"/>
      <c r="O46" s="270"/>
      <c r="P46" s="271"/>
      <c r="Q46" s="272"/>
      <c r="R46" s="270"/>
      <c r="S46" s="270"/>
      <c r="T46" s="270"/>
      <c r="U46" s="270"/>
      <c r="V46" s="270"/>
      <c r="W46" s="271"/>
      <c r="X46" s="272"/>
      <c r="Y46" s="270"/>
      <c r="Z46" s="270"/>
      <c r="AA46" s="270"/>
      <c r="AB46" s="270"/>
      <c r="AC46" s="270"/>
      <c r="AD46" s="273"/>
      <c r="AE46" s="51">
        <f t="shared" si="0"/>
        <v>0</v>
      </c>
      <c r="AF46" s="77">
        <f t="shared" si="18"/>
        <v>0</v>
      </c>
      <c r="AG46" s="106"/>
      <c r="AH46" s="110"/>
      <c r="AI46" s="106"/>
      <c r="AJ46" s="106"/>
      <c r="AK46" s="78">
        <f t="shared" si="59"/>
        <v>0</v>
      </c>
      <c r="AL46" s="53">
        <f t="shared" si="60"/>
        <v>0</v>
      </c>
      <c r="AM46" s="79">
        <f t="shared" si="61"/>
        <v>0</v>
      </c>
      <c r="AN46" s="79">
        <f t="shared" si="61"/>
        <v>0</v>
      </c>
      <c r="AO46" s="79">
        <f t="shared" si="62"/>
        <v>0</v>
      </c>
      <c r="AP46" s="79">
        <f t="shared" si="62"/>
        <v>0</v>
      </c>
      <c r="AQ46" s="79">
        <f t="shared" si="63"/>
        <v>0</v>
      </c>
      <c r="AR46" s="80">
        <f t="shared" si="63"/>
        <v>0</v>
      </c>
      <c r="AS46" s="260" t="s">
        <v>76</v>
      </c>
      <c r="AT46" s="17">
        <f t="shared" si="6"/>
        <v>0</v>
      </c>
      <c r="AU46" s="17">
        <f t="shared" si="7"/>
        <v>0</v>
      </c>
      <c r="AV46" s="17">
        <f t="shared" si="8"/>
        <v>0</v>
      </c>
      <c r="AW46" s="11">
        <f t="shared" si="9"/>
        <v>0</v>
      </c>
      <c r="AX46" s="11">
        <f t="shared" si="10"/>
        <v>0</v>
      </c>
      <c r="AY46" s="11">
        <f t="shared" si="11"/>
        <v>0</v>
      </c>
      <c r="AZ46" s="11">
        <f t="shared" si="12"/>
        <v>0</v>
      </c>
      <c r="BA46" s="11">
        <f t="shared" si="13"/>
        <v>0</v>
      </c>
      <c r="BB46" s="11">
        <f t="shared" si="19"/>
        <v>0</v>
      </c>
      <c r="BC46" s="11">
        <f t="shared" si="20"/>
        <v>0</v>
      </c>
      <c r="BD46" s="11">
        <f t="shared" si="14"/>
        <v>0</v>
      </c>
      <c r="BE46" s="28">
        <f t="shared" si="15"/>
        <v>0</v>
      </c>
      <c r="BF46" s="29">
        <f t="shared" si="16"/>
        <v>0</v>
      </c>
      <c r="BG46" s="11">
        <f t="shared" si="17"/>
        <v>0</v>
      </c>
    </row>
    <row r="47" spans="1:59" ht="17.25" thickBot="1">
      <c r="A47" s="261" t="s">
        <v>68</v>
      </c>
      <c r="B47" s="63"/>
      <c r="C47" s="268"/>
      <c r="D47" s="266"/>
      <c r="E47" s="266"/>
      <c r="F47" s="266"/>
      <c r="G47" s="266"/>
      <c r="H47" s="266"/>
      <c r="I47" s="274"/>
      <c r="J47" s="265"/>
      <c r="K47" s="266"/>
      <c r="L47" s="266"/>
      <c r="M47" s="266"/>
      <c r="N47" s="266"/>
      <c r="O47" s="266"/>
      <c r="P47" s="274"/>
      <c r="Q47" s="265"/>
      <c r="R47" s="266"/>
      <c r="S47" s="266"/>
      <c r="T47" s="266"/>
      <c r="U47" s="266"/>
      <c r="V47" s="266"/>
      <c r="W47" s="274"/>
      <c r="X47" s="265"/>
      <c r="Y47" s="266"/>
      <c r="Z47" s="266"/>
      <c r="AA47" s="266"/>
      <c r="AB47" s="266"/>
      <c r="AC47" s="266"/>
      <c r="AD47" s="267"/>
      <c r="AE47" s="51">
        <f t="shared" si="0"/>
        <v>0</v>
      </c>
      <c r="AF47" s="77">
        <f t="shared" si="18"/>
        <v>0</v>
      </c>
      <c r="AG47" s="106"/>
      <c r="AH47" s="110"/>
      <c r="AI47" s="106"/>
      <c r="AJ47" s="106"/>
      <c r="AK47" s="78">
        <f t="shared" si="59"/>
        <v>0</v>
      </c>
      <c r="AL47" s="53">
        <f t="shared" si="60"/>
        <v>0</v>
      </c>
      <c r="AM47" s="79">
        <f t="shared" si="61"/>
        <v>0</v>
      </c>
      <c r="AN47" s="79">
        <f t="shared" si="61"/>
        <v>0</v>
      </c>
      <c r="AO47" s="79">
        <f t="shared" si="62"/>
        <v>0</v>
      </c>
      <c r="AP47" s="79">
        <f t="shared" si="62"/>
        <v>0</v>
      </c>
      <c r="AQ47" s="79">
        <f t="shared" si="63"/>
        <v>0</v>
      </c>
      <c r="AR47" s="80">
        <f t="shared" si="63"/>
        <v>0</v>
      </c>
      <c r="AS47" s="261" t="s">
        <v>68</v>
      </c>
      <c r="AT47" s="17">
        <f t="shared" si="6"/>
        <v>0</v>
      </c>
      <c r="AU47" s="17">
        <f t="shared" si="7"/>
        <v>0</v>
      </c>
      <c r="AV47" s="17">
        <f t="shared" si="8"/>
        <v>0</v>
      </c>
      <c r="AW47" s="11">
        <f t="shared" si="9"/>
        <v>0</v>
      </c>
      <c r="AX47" s="11">
        <f t="shared" si="10"/>
        <v>0</v>
      </c>
      <c r="AY47" s="11">
        <f t="shared" si="11"/>
        <v>0</v>
      </c>
      <c r="AZ47" s="11">
        <f t="shared" si="12"/>
        <v>0</v>
      </c>
      <c r="BA47" s="11">
        <f t="shared" si="13"/>
        <v>0</v>
      </c>
      <c r="BB47" s="11">
        <f t="shared" si="19"/>
        <v>0</v>
      </c>
      <c r="BC47" s="11">
        <f t="shared" si="20"/>
        <v>0</v>
      </c>
      <c r="BD47" s="11">
        <f t="shared" si="14"/>
        <v>0</v>
      </c>
      <c r="BE47" s="28">
        <f t="shared" si="15"/>
        <v>0</v>
      </c>
      <c r="BF47" s="29">
        <f t="shared" si="16"/>
        <v>0</v>
      </c>
      <c r="BG47" s="11">
        <f t="shared" si="17"/>
        <v>0</v>
      </c>
    </row>
    <row r="48" spans="1:59" ht="17.25" thickBot="1">
      <c r="A48" s="262" t="s">
        <v>77</v>
      </c>
      <c r="B48" s="69"/>
      <c r="C48" s="275"/>
      <c r="D48" s="276"/>
      <c r="E48" s="276"/>
      <c r="F48" s="276"/>
      <c r="G48" s="276"/>
      <c r="H48" s="276"/>
      <c r="I48" s="277"/>
      <c r="J48" s="278"/>
      <c r="K48" s="276"/>
      <c r="L48" s="276"/>
      <c r="M48" s="276"/>
      <c r="N48" s="276"/>
      <c r="O48" s="276"/>
      <c r="P48" s="277"/>
      <c r="Q48" s="278"/>
      <c r="R48" s="276"/>
      <c r="S48" s="276"/>
      <c r="T48" s="276"/>
      <c r="U48" s="276"/>
      <c r="V48" s="276"/>
      <c r="W48" s="277"/>
      <c r="X48" s="278"/>
      <c r="Y48" s="276"/>
      <c r="Z48" s="276"/>
      <c r="AA48" s="276"/>
      <c r="AB48" s="276"/>
      <c r="AC48" s="276"/>
      <c r="AD48" s="279"/>
      <c r="AE48" s="51">
        <f t="shared" si="0"/>
        <v>0</v>
      </c>
      <c r="AF48" s="77">
        <f t="shared" si="18"/>
        <v>0</v>
      </c>
      <c r="AG48" s="106"/>
      <c r="AH48" s="110"/>
      <c r="AI48" s="106"/>
      <c r="AJ48" s="106"/>
      <c r="AK48" s="78">
        <f t="shared" si="59"/>
        <v>0</v>
      </c>
      <c r="AL48" s="53">
        <f t="shared" si="60"/>
        <v>0</v>
      </c>
      <c r="AM48" s="79">
        <f t="shared" si="61"/>
        <v>0</v>
      </c>
      <c r="AN48" s="79">
        <f t="shared" si="61"/>
        <v>0</v>
      </c>
      <c r="AO48" s="79">
        <f t="shared" si="62"/>
        <v>0</v>
      </c>
      <c r="AP48" s="79">
        <f t="shared" si="62"/>
        <v>0</v>
      </c>
      <c r="AQ48" s="79">
        <f t="shared" si="63"/>
        <v>0</v>
      </c>
      <c r="AR48" s="80">
        <f t="shared" si="63"/>
        <v>0</v>
      </c>
      <c r="AS48" s="262" t="s">
        <v>77</v>
      </c>
      <c r="AT48" s="17">
        <f t="shared" si="6"/>
        <v>0</v>
      </c>
      <c r="AU48" s="17">
        <f t="shared" si="7"/>
        <v>0</v>
      </c>
      <c r="AV48" s="17">
        <f t="shared" si="8"/>
        <v>0</v>
      </c>
      <c r="AW48" s="11">
        <f t="shared" si="9"/>
        <v>0</v>
      </c>
      <c r="AX48" s="11">
        <f t="shared" si="10"/>
        <v>0</v>
      </c>
      <c r="AY48" s="11">
        <f t="shared" si="11"/>
        <v>0</v>
      </c>
      <c r="AZ48" s="11">
        <f t="shared" si="12"/>
        <v>0</v>
      </c>
      <c r="BA48" s="11">
        <f t="shared" si="13"/>
        <v>0</v>
      </c>
      <c r="BB48" s="11">
        <f t="shared" si="19"/>
        <v>0</v>
      </c>
      <c r="BC48" s="11">
        <f t="shared" si="20"/>
        <v>0</v>
      </c>
      <c r="BD48" s="11">
        <f t="shared" si="14"/>
        <v>0</v>
      </c>
      <c r="BE48" s="28">
        <f t="shared" si="15"/>
        <v>0</v>
      </c>
      <c r="BF48" s="29">
        <f t="shared" si="16"/>
        <v>0</v>
      </c>
      <c r="BG48" s="11">
        <f t="shared" si="17"/>
        <v>0</v>
      </c>
    </row>
    <row r="49" spans="1:59">
      <c r="A49" s="146"/>
      <c r="B49" s="82"/>
      <c r="C49" s="83"/>
      <c r="D49" s="83"/>
      <c r="E49" s="83"/>
      <c r="F49" s="83"/>
      <c r="G49" s="83"/>
      <c r="H49" s="83"/>
      <c r="I49" s="83"/>
      <c r="J49" s="84"/>
      <c r="K49" s="84"/>
      <c r="L49" s="83"/>
      <c r="M49" s="83"/>
      <c r="N49" s="83"/>
      <c r="O49" s="83"/>
      <c r="P49" s="83"/>
      <c r="Q49" s="85"/>
      <c r="R49" s="83"/>
      <c r="S49" s="83"/>
      <c r="T49" s="83"/>
      <c r="U49" s="83"/>
      <c r="V49" s="83"/>
      <c r="W49" s="83"/>
      <c r="X49" s="83"/>
      <c r="Y49" s="86"/>
      <c r="Z49" s="83"/>
      <c r="AA49" s="83"/>
      <c r="AB49" s="83"/>
      <c r="AC49" s="84"/>
      <c r="AD49" s="83"/>
      <c r="AE49" s="87"/>
      <c r="AF49" s="87"/>
      <c r="AG49" s="111"/>
      <c r="AH49" s="111"/>
      <c r="AI49" s="112"/>
      <c r="AJ49" s="111"/>
      <c r="AK49" s="88"/>
      <c r="AL49" s="91"/>
      <c r="AM49" s="91"/>
      <c r="AN49" s="88"/>
      <c r="AO49" s="88"/>
      <c r="AP49" s="91"/>
      <c r="AQ49" s="91"/>
      <c r="AR49" s="92"/>
      <c r="AS49" s="154"/>
      <c r="AT49" s="88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</row>
    <row r="50" spans="1:59">
      <c r="A50" s="147" t="s">
        <v>20</v>
      </c>
      <c r="B50" s="93"/>
      <c r="C50" s="94">
        <f t="shared" ref="C50:L54" si="64">COUNTIF(C$7:C$45,$A50)</f>
        <v>7</v>
      </c>
      <c r="D50" s="94">
        <f t="shared" si="64"/>
        <v>8</v>
      </c>
      <c r="E50" s="94">
        <f t="shared" si="64"/>
        <v>8</v>
      </c>
      <c r="F50" s="94">
        <f t="shared" si="64"/>
        <v>7</v>
      </c>
      <c r="G50" s="94">
        <f t="shared" si="64"/>
        <v>8</v>
      </c>
      <c r="H50" s="94">
        <f t="shared" si="64"/>
        <v>8</v>
      </c>
      <c r="I50" s="94">
        <f t="shared" si="64"/>
        <v>7</v>
      </c>
      <c r="J50" s="94">
        <f t="shared" si="64"/>
        <v>7</v>
      </c>
      <c r="K50" s="94">
        <f t="shared" si="64"/>
        <v>8</v>
      </c>
      <c r="L50" s="94">
        <f t="shared" si="64"/>
        <v>8</v>
      </c>
      <c r="M50" s="94">
        <f t="shared" ref="M50:V54" si="65">COUNTIF(M$7:M$45,$A50)</f>
        <v>7</v>
      </c>
      <c r="N50" s="94">
        <f t="shared" si="65"/>
        <v>8</v>
      </c>
      <c r="O50" s="94">
        <f t="shared" si="65"/>
        <v>8</v>
      </c>
      <c r="P50" s="94">
        <f t="shared" si="65"/>
        <v>8</v>
      </c>
      <c r="Q50" s="94">
        <f t="shared" si="65"/>
        <v>7</v>
      </c>
      <c r="R50" s="94">
        <f t="shared" si="65"/>
        <v>7</v>
      </c>
      <c r="S50" s="94">
        <f t="shared" si="65"/>
        <v>7</v>
      </c>
      <c r="T50" s="94">
        <f t="shared" si="65"/>
        <v>7</v>
      </c>
      <c r="U50" s="94">
        <f t="shared" si="65"/>
        <v>8</v>
      </c>
      <c r="V50" s="94">
        <f t="shared" si="65"/>
        <v>7</v>
      </c>
      <c r="W50" s="94">
        <f t="shared" ref="W50:AD54" si="66">COUNTIF(W$7:W$45,$A50)</f>
        <v>7</v>
      </c>
      <c r="X50" s="94">
        <f t="shared" si="66"/>
        <v>7</v>
      </c>
      <c r="Y50" s="94">
        <f t="shared" si="66"/>
        <v>7</v>
      </c>
      <c r="Z50" s="94">
        <f t="shared" si="66"/>
        <v>7</v>
      </c>
      <c r="AA50" s="94">
        <f t="shared" si="66"/>
        <v>7</v>
      </c>
      <c r="AB50" s="94">
        <f t="shared" si="66"/>
        <v>7</v>
      </c>
      <c r="AC50" s="94">
        <f t="shared" si="66"/>
        <v>7</v>
      </c>
      <c r="AD50" s="94">
        <f t="shared" si="66"/>
        <v>7</v>
      </c>
      <c r="AE50" s="87"/>
      <c r="AF50" s="87"/>
      <c r="AG50" s="111"/>
      <c r="AH50" s="111"/>
      <c r="AI50" s="112"/>
      <c r="AJ50" s="111"/>
      <c r="AK50" s="88"/>
      <c r="AL50" s="91"/>
      <c r="AM50" s="91"/>
      <c r="AN50" s="88"/>
      <c r="AO50" s="88"/>
      <c r="AP50" s="91"/>
      <c r="AQ50" s="91"/>
      <c r="AR50" s="92"/>
      <c r="AS50" s="154"/>
      <c r="AT50" s="88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</row>
    <row r="51" spans="1:59">
      <c r="A51" s="147" t="s">
        <v>25</v>
      </c>
      <c r="B51" s="93"/>
      <c r="C51" s="94">
        <f t="shared" si="64"/>
        <v>8</v>
      </c>
      <c r="D51" s="94">
        <f t="shared" si="64"/>
        <v>8</v>
      </c>
      <c r="E51" s="94">
        <f t="shared" si="64"/>
        <v>8</v>
      </c>
      <c r="F51" s="94">
        <f t="shared" si="64"/>
        <v>8</v>
      </c>
      <c r="G51" s="94">
        <f t="shared" si="64"/>
        <v>8</v>
      </c>
      <c r="H51" s="94">
        <f t="shared" si="64"/>
        <v>8</v>
      </c>
      <c r="I51" s="94">
        <f t="shared" si="64"/>
        <v>8</v>
      </c>
      <c r="J51" s="94">
        <f t="shared" si="64"/>
        <v>8</v>
      </c>
      <c r="K51" s="94">
        <f t="shared" si="64"/>
        <v>8</v>
      </c>
      <c r="L51" s="94">
        <f t="shared" si="64"/>
        <v>8</v>
      </c>
      <c r="M51" s="94">
        <f t="shared" si="65"/>
        <v>8</v>
      </c>
      <c r="N51" s="94">
        <f t="shared" si="65"/>
        <v>8</v>
      </c>
      <c r="O51" s="94">
        <f t="shared" si="65"/>
        <v>8</v>
      </c>
      <c r="P51" s="94">
        <f t="shared" si="65"/>
        <v>8</v>
      </c>
      <c r="Q51" s="94">
        <f t="shared" si="65"/>
        <v>8</v>
      </c>
      <c r="R51" s="94">
        <f t="shared" si="65"/>
        <v>8</v>
      </c>
      <c r="S51" s="94">
        <f t="shared" si="65"/>
        <v>8</v>
      </c>
      <c r="T51" s="94">
        <f t="shared" si="65"/>
        <v>8</v>
      </c>
      <c r="U51" s="94">
        <f t="shared" si="65"/>
        <v>8</v>
      </c>
      <c r="V51" s="94">
        <f t="shared" si="65"/>
        <v>8</v>
      </c>
      <c r="W51" s="94">
        <f t="shared" si="66"/>
        <v>8</v>
      </c>
      <c r="X51" s="94">
        <f t="shared" si="66"/>
        <v>8</v>
      </c>
      <c r="Y51" s="94">
        <f t="shared" si="66"/>
        <v>8</v>
      </c>
      <c r="Z51" s="94">
        <f t="shared" si="66"/>
        <v>8</v>
      </c>
      <c r="AA51" s="94">
        <f t="shared" si="66"/>
        <v>8</v>
      </c>
      <c r="AB51" s="94">
        <f t="shared" si="66"/>
        <v>8</v>
      </c>
      <c r="AC51" s="94">
        <f t="shared" si="66"/>
        <v>8</v>
      </c>
      <c r="AD51" s="94">
        <f t="shared" si="66"/>
        <v>8</v>
      </c>
      <c r="AE51" s="87"/>
      <c r="AF51" s="87"/>
      <c r="AG51" s="111"/>
      <c r="AH51" s="111"/>
      <c r="AI51" s="112"/>
      <c r="AJ51" s="111"/>
      <c r="AK51" s="88"/>
      <c r="AL51" s="91"/>
      <c r="AM51" s="91"/>
      <c r="AN51" s="88"/>
      <c r="AO51" s="88"/>
      <c r="AP51" s="91"/>
      <c r="AQ51" s="91"/>
      <c r="AR51" s="92"/>
      <c r="AS51" s="154"/>
      <c r="AT51" s="88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</row>
    <row r="52" spans="1:59">
      <c r="A52" s="147" t="s">
        <v>6</v>
      </c>
      <c r="B52" s="93"/>
      <c r="C52" s="94">
        <f t="shared" si="64"/>
        <v>7</v>
      </c>
      <c r="D52" s="94">
        <f t="shared" si="64"/>
        <v>7</v>
      </c>
      <c r="E52" s="94">
        <f t="shared" si="64"/>
        <v>7</v>
      </c>
      <c r="F52" s="94">
        <f t="shared" si="64"/>
        <v>7</v>
      </c>
      <c r="G52" s="94">
        <f t="shared" si="64"/>
        <v>7</v>
      </c>
      <c r="H52" s="94">
        <f t="shared" si="64"/>
        <v>7</v>
      </c>
      <c r="I52" s="94">
        <f t="shared" si="64"/>
        <v>7</v>
      </c>
      <c r="J52" s="94">
        <f t="shared" si="64"/>
        <v>7</v>
      </c>
      <c r="K52" s="94">
        <f t="shared" si="64"/>
        <v>7</v>
      </c>
      <c r="L52" s="94">
        <f t="shared" si="64"/>
        <v>7</v>
      </c>
      <c r="M52" s="94">
        <f t="shared" si="65"/>
        <v>7</v>
      </c>
      <c r="N52" s="94">
        <f t="shared" si="65"/>
        <v>7</v>
      </c>
      <c r="O52" s="94">
        <f t="shared" si="65"/>
        <v>7</v>
      </c>
      <c r="P52" s="94">
        <f t="shared" si="65"/>
        <v>7</v>
      </c>
      <c r="Q52" s="94">
        <f t="shared" si="65"/>
        <v>7</v>
      </c>
      <c r="R52" s="94">
        <f t="shared" si="65"/>
        <v>7</v>
      </c>
      <c r="S52" s="94">
        <f t="shared" si="65"/>
        <v>7</v>
      </c>
      <c r="T52" s="94">
        <f t="shared" si="65"/>
        <v>7</v>
      </c>
      <c r="U52" s="94">
        <f t="shared" si="65"/>
        <v>7</v>
      </c>
      <c r="V52" s="94">
        <f t="shared" si="65"/>
        <v>7</v>
      </c>
      <c r="W52" s="94">
        <f t="shared" si="66"/>
        <v>7</v>
      </c>
      <c r="X52" s="94">
        <f t="shared" si="66"/>
        <v>7</v>
      </c>
      <c r="Y52" s="94">
        <f t="shared" si="66"/>
        <v>7</v>
      </c>
      <c r="Z52" s="94">
        <f t="shared" si="66"/>
        <v>7</v>
      </c>
      <c r="AA52" s="94">
        <f t="shared" si="66"/>
        <v>7</v>
      </c>
      <c r="AB52" s="94">
        <f t="shared" si="66"/>
        <v>7</v>
      </c>
      <c r="AC52" s="94">
        <f t="shared" si="66"/>
        <v>7</v>
      </c>
      <c r="AD52" s="94">
        <f t="shared" si="66"/>
        <v>7</v>
      </c>
      <c r="AE52" s="87"/>
      <c r="AF52" s="87"/>
      <c r="AG52" s="111"/>
      <c r="AH52" s="111"/>
      <c r="AI52" s="112"/>
      <c r="AJ52" s="111"/>
      <c r="AK52" s="88"/>
      <c r="AL52" s="91"/>
      <c r="AM52" s="91"/>
      <c r="AN52" s="88"/>
      <c r="AO52" s="88"/>
      <c r="AP52" s="91"/>
      <c r="AQ52" s="91"/>
      <c r="AR52" s="92"/>
      <c r="AS52" s="154"/>
      <c r="AT52" s="88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</row>
    <row r="53" spans="1:59">
      <c r="A53" s="147" t="s">
        <v>53</v>
      </c>
      <c r="B53" s="93"/>
      <c r="C53" s="94">
        <f t="shared" si="64"/>
        <v>0</v>
      </c>
      <c r="D53" s="94">
        <f t="shared" si="64"/>
        <v>0</v>
      </c>
      <c r="E53" s="94">
        <f t="shared" si="64"/>
        <v>0</v>
      </c>
      <c r="F53" s="94">
        <f t="shared" si="64"/>
        <v>0</v>
      </c>
      <c r="G53" s="94">
        <f t="shared" si="64"/>
        <v>0</v>
      </c>
      <c r="H53" s="94">
        <f t="shared" si="64"/>
        <v>0</v>
      </c>
      <c r="I53" s="94">
        <f t="shared" si="64"/>
        <v>0</v>
      </c>
      <c r="J53" s="94">
        <f t="shared" si="64"/>
        <v>0</v>
      </c>
      <c r="K53" s="94">
        <f t="shared" si="64"/>
        <v>0</v>
      </c>
      <c r="L53" s="94">
        <f t="shared" si="64"/>
        <v>0</v>
      </c>
      <c r="M53" s="94">
        <f t="shared" si="65"/>
        <v>0</v>
      </c>
      <c r="N53" s="94">
        <f t="shared" si="65"/>
        <v>0</v>
      </c>
      <c r="O53" s="94">
        <f t="shared" si="65"/>
        <v>0</v>
      </c>
      <c r="P53" s="94">
        <f t="shared" si="65"/>
        <v>0</v>
      </c>
      <c r="Q53" s="94">
        <f t="shared" si="65"/>
        <v>0</v>
      </c>
      <c r="R53" s="94">
        <f t="shared" si="65"/>
        <v>0</v>
      </c>
      <c r="S53" s="94">
        <f t="shared" si="65"/>
        <v>0</v>
      </c>
      <c r="T53" s="94">
        <f t="shared" si="65"/>
        <v>0</v>
      </c>
      <c r="U53" s="94">
        <f t="shared" si="65"/>
        <v>0</v>
      </c>
      <c r="V53" s="94">
        <f t="shared" si="65"/>
        <v>0</v>
      </c>
      <c r="W53" s="94">
        <f t="shared" si="66"/>
        <v>0</v>
      </c>
      <c r="X53" s="94">
        <f t="shared" si="66"/>
        <v>0</v>
      </c>
      <c r="Y53" s="94">
        <f t="shared" si="66"/>
        <v>0</v>
      </c>
      <c r="Z53" s="94">
        <f t="shared" si="66"/>
        <v>0</v>
      </c>
      <c r="AA53" s="94">
        <f t="shared" si="66"/>
        <v>0</v>
      </c>
      <c r="AB53" s="94">
        <f t="shared" si="66"/>
        <v>0</v>
      </c>
      <c r="AC53" s="94">
        <f t="shared" si="66"/>
        <v>0</v>
      </c>
      <c r="AD53" s="94">
        <f t="shared" si="66"/>
        <v>0</v>
      </c>
      <c r="AE53" s="87"/>
      <c r="AF53" s="87"/>
      <c r="AG53" s="88"/>
      <c r="AH53" s="88"/>
      <c r="AI53" s="89"/>
      <c r="AJ53" s="88"/>
      <c r="AK53" s="88"/>
      <c r="AL53" s="91"/>
      <c r="AM53" s="91"/>
      <c r="AN53" s="88"/>
      <c r="AO53" s="88"/>
      <c r="AP53" s="91"/>
      <c r="AQ53" s="91"/>
      <c r="AR53" s="92"/>
      <c r="AS53" s="154"/>
      <c r="AT53" s="88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</row>
    <row r="54" spans="1:59">
      <c r="A54" s="147" t="s">
        <v>54</v>
      </c>
      <c r="B54" s="93"/>
      <c r="C54" s="94">
        <f t="shared" si="64"/>
        <v>0</v>
      </c>
      <c r="D54" s="94">
        <f t="shared" si="64"/>
        <v>1</v>
      </c>
      <c r="E54" s="94">
        <f t="shared" si="64"/>
        <v>0</v>
      </c>
      <c r="F54" s="94">
        <f t="shared" si="64"/>
        <v>0</v>
      </c>
      <c r="G54" s="94">
        <f t="shared" si="64"/>
        <v>0</v>
      </c>
      <c r="H54" s="94">
        <f t="shared" si="64"/>
        <v>0</v>
      </c>
      <c r="I54" s="94">
        <f t="shared" si="64"/>
        <v>0</v>
      </c>
      <c r="J54" s="94">
        <f t="shared" si="64"/>
        <v>0</v>
      </c>
      <c r="K54" s="94">
        <f t="shared" si="64"/>
        <v>0</v>
      </c>
      <c r="L54" s="94">
        <f t="shared" si="64"/>
        <v>0</v>
      </c>
      <c r="M54" s="94">
        <f t="shared" si="65"/>
        <v>0</v>
      </c>
      <c r="N54" s="94">
        <f t="shared" si="65"/>
        <v>0</v>
      </c>
      <c r="O54" s="94">
        <f t="shared" si="65"/>
        <v>1</v>
      </c>
      <c r="P54" s="94">
        <f t="shared" si="65"/>
        <v>0</v>
      </c>
      <c r="Q54" s="94">
        <f t="shared" si="65"/>
        <v>0</v>
      </c>
      <c r="R54" s="94">
        <f t="shared" si="65"/>
        <v>0</v>
      </c>
      <c r="S54" s="94">
        <f t="shared" si="65"/>
        <v>0</v>
      </c>
      <c r="T54" s="94">
        <f t="shared" si="65"/>
        <v>0</v>
      </c>
      <c r="U54" s="94">
        <f t="shared" si="65"/>
        <v>0</v>
      </c>
      <c r="V54" s="94">
        <f t="shared" si="65"/>
        <v>1</v>
      </c>
      <c r="W54" s="94">
        <f t="shared" si="66"/>
        <v>0</v>
      </c>
      <c r="X54" s="94">
        <f t="shared" si="66"/>
        <v>0</v>
      </c>
      <c r="Y54" s="94">
        <f t="shared" si="66"/>
        <v>0</v>
      </c>
      <c r="Z54" s="94">
        <f t="shared" si="66"/>
        <v>0</v>
      </c>
      <c r="AA54" s="94">
        <f t="shared" si="66"/>
        <v>0</v>
      </c>
      <c r="AB54" s="94">
        <f t="shared" si="66"/>
        <v>1</v>
      </c>
      <c r="AC54" s="94">
        <f t="shared" si="66"/>
        <v>0</v>
      </c>
      <c r="AD54" s="94">
        <f t="shared" si="66"/>
        <v>0</v>
      </c>
      <c r="AE54" s="87"/>
      <c r="AF54" s="87"/>
      <c r="AG54" s="88"/>
      <c r="AH54" s="88"/>
      <c r="AI54" s="89"/>
      <c r="AJ54" s="88"/>
      <c r="AK54" s="88"/>
      <c r="AL54" s="91"/>
      <c r="AM54" s="91"/>
      <c r="AN54" s="88"/>
      <c r="AO54" s="88"/>
      <c r="AP54" s="91"/>
      <c r="AQ54" s="91"/>
      <c r="AR54" s="92"/>
      <c r="AS54" s="154"/>
      <c r="AT54" s="88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</row>
  </sheetData>
  <sheetProtection algorithmName="SHA-512" hashValue="6fx0u5ktx/Tjt7y9lNGNxWxP+d7210rDFRBCdEPKfEMDhDzPTuW5OnjFNtGR6/A6ZHmeWEYf0u8K81+cGxTTAw==" saltValue="3YOia0TG9gFvvgilLaDM1g==" spinCount="100000" sheet="1" formatCells="0" formatColumns="0" formatRows="0" insertColumns="0" insertRows="0" insertHyperlinks="0" deleteColumns="0" deleteRows="0" sort="0" autoFilter="0" pivotTables="0"/>
  <mergeCells count="3">
    <mergeCell ref="A1:AD2"/>
    <mergeCell ref="J3:U3"/>
    <mergeCell ref="AI4:AJ5"/>
  </mergeCells>
  <phoneticPr fontId="1" type="noConversion"/>
  <conditionalFormatting sqref="AF1:BG6 AF7:AR16 AF31:AR48 AX31:AX48 AT44:AW48 AY44:BA48 BD44:BG48 AF18:AR29 BB8:BB48 AE4:AF48">
    <cfRule type="containsText" dxfId="139" priority="126" operator="containsText" text="보수">
      <formula>NOT(ISERROR(SEARCH("보수",AE1)))</formula>
    </cfRule>
  </conditionalFormatting>
  <conditionalFormatting sqref="AT39:AW43 AY39:BA43 AT31:AW35 AY31:BA35 AT7:BG7 AT8:BA16 BD8:BG16 BD31:BG35 BD39:BG43 AT18:BA29 BD18:BG29 BC8:BC48">
    <cfRule type="containsText" dxfId="138" priority="92" operator="containsText" text="보수">
      <formula>NOT(ISERROR(SEARCH("보수",AT7)))</formula>
    </cfRule>
  </conditionalFormatting>
  <conditionalFormatting sqref="AE1:AE16 AE31:AE35 AE55:AE1048576 AE39:AE49 AE18:AE29">
    <cfRule type="cellIs" dxfId="137" priority="93" operator="lessThan">
      <formula>11</formula>
    </cfRule>
    <cfRule type="cellIs" dxfId="136" priority="94" operator="greaterThan">
      <formula>11</formula>
    </cfRule>
  </conditionalFormatting>
  <conditionalFormatting sqref="AF7:AH16 AF31:AH35 AF39:AH48 AF18:AH29">
    <cfRule type="cellIs" dxfId="135" priority="101" operator="greaterThan">
      <formula>6</formula>
    </cfRule>
  </conditionalFormatting>
  <conditionalFormatting sqref="AF19">
    <cfRule type="containsText" dxfId="134" priority="91" operator="containsText" text="D">
      <formula>NOT(ISERROR(SEARCH("D",AF19)))</formula>
    </cfRule>
  </conditionalFormatting>
  <conditionalFormatting sqref="AF7:AG7">
    <cfRule type="containsText" dxfId="133" priority="103" operator="containsText" text="E">
      <formula>NOT(ISERROR(SEARCH("E",AF7)))</formula>
    </cfRule>
  </conditionalFormatting>
  <conditionalFormatting sqref="AJ3">
    <cfRule type="cellIs" dxfId="132" priority="105" operator="greaterThan">
      <formula>5</formula>
    </cfRule>
  </conditionalFormatting>
  <conditionalFormatting sqref="AK7:AR16 AK23:AK28 AL22:AL29 AK18:AR21 AL31:AL35 AM22:AR28 AL39:AL48 AK28:AR28">
    <cfRule type="expression" dxfId="131" priority="106">
      <formula>EU7=0</formula>
    </cfRule>
  </conditionalFormatting>
  <conditionalFormatting sqref="AL32:AN35 AK7:AR16 AX7:AX16 AK31:AR31 AX31:AX48 AL39:AN48 AK18:AR29 AX18:AX29">
    <cfRule type="containsText" dxfId="130" priority="104" operator="containsText" text="0">
      <formula>NOT(ISERROR(SEARCH("0",AK7)))</formula>
    </cfRule>
  </conditionalFormatting>
  <conditionalFormatting sqref="AK7:AR16 AK31:AR35 AK39:AR48 AK18:AR29">
    <cfRule type="cellIs" dxfId="129" priority="96" operator="greaterThan">
      <formula>1</formula>
    </cfRule>
  </conditionalFormatting>
  <conditionalFormatting sqref="AK7:AR16 AK31:AR35 AK39:AR48 AK18:AR29">
    <cfRule type="cellIs" dxfId="128" priority="95" operator="lessThan">
      <formula>1</formula>
    </cfRule>
  </conditionalFormatting>
  <conditionalFormatting sqref="AK22">
    <cfRule type="expression" dxfId="127" priority="102">
      <formula>EU22=0</formula>
    </cfRule>
  </conditionalFormatting>
  <conditionalFormatting sqref="AK31:AK34 AM31:AR34">
    <cfRule type="expression" dxfId="126" priority="99">
      <formula>EU32=0</formula>
    </cfRule>
  </conditionalFormatting>
  <conditionalFormatting sqref="AL49:AM49">
    <cfRule type="cellIs" dxfId="125" priority="97" operator="greaterThan">
      <formula>6</formula>
    </cfRule>
  </conditionalFormatting>
  <conditionalFormatting sqref="AN31:AN32">
    <cfRule type="expression" dxfId="124" priority="100">
      <formula>EX32=0</formula>
    </cfRule>
  </conditionalFormatting>
  <conditionalFormatting sqref="AZ7:AZ16 BD7:BD16 AZ31:AZ35 BD31:BD35 BD39:BD48 AZ39:AZ48 BD18:BD29 AZ18:AZ29">
    <cfRule type="cellIs" dxfId="123" priority="98" operator="lessThan">
      <formula>4</formula>
    </cfRule>
  </conditionalFormatting>
  <conditionalFormatting sqref="AF7:AF16 AF31:AF35 AF39:AF48 AF18:AF29">
    <cfRule type="cellIs" dxfId="122" priority="90" operator="lessThan">
      <formula>6</formula>
    </cfRule>
  </conditionalFormatting>
  <conditionalFormatting sqref="AK35 AM35:AR35 AM39:AR43 AK39:AK43">
    <cfRule type="expression" dxfId="121" priority="107">
      <formula>#REF!=0</formula>
    </cfRule>
  </conditionalFormatting>
  <conditionalFormatting sqref="AT36:AW38 AY36:BA38 BD36:BG38">
    <cfRule type="containsText" dxfId="120" priority="80" operator="containsText" text="보수">
      <formula>NOT(ISERROR(SEARCH("보수",AT36)))</formula>
    </cfRule>
  </conditionalFormatting>
  <conditionalFormatting sqref="AE36:AE38">
    <cfRule type="cellIs" dxfId="119" priority="81" operator="lessThan">
      <formula>11</formula>
    </cfRule>
    <cfRule type="cellIs" dxfId="118" priority="82" operator="greaterThan">
      <formula>11</formula>
    </cfRule>
  </conditionalFormatting>
  <conditionalFormatting sqref="AF36:AH38">
    <cfRule type="cellIs" dxfId="117" priority="86" operator="greaterThan">
      <formula>6</formula>
    </cfRule>
  </conditionalFormatting>
  <conditionalFormatting sqref="AL36:AL38">
    <cfRule type="expression" dxfId="116" priority="88">
      <formula>EV36=0</formula>
    </cfRule>
  </conditionalFormatting>
  <conditionalFormatting sqref="AL36:AN38">
    <cfRule type="containsText" dxfId="115" priority="87" operator="containsText" text="0">
      <formula>NOT(ISERROR(SEARCH("0",AL36)))</formula>
    </cfRule>
  </conditionalFormatting>
  <conditionalFormatting sqref="AK36:AR38">
    <cfRule type="cellIs" dxfId="114" priority="84" operator="greaterThan">
      <formula>1</formula>
    </cfRule>
  </conditionalFormatting>
  <conditionalFormatting sqref="AK36:AR38">
    <cfRule type="cellIs" dxfId="113" priority="83" operator="lessThan">
      <formula>1</formula>
    </cfRule>
  </conditionalFormatting>
  <conditionalFormatting sqref="AZ36:AZ38 BD36:BD38">
    <cfRule type="cellIs" dxfId="112" priority="85" operator="lessThan">
      <formula>4</formula>
    </cfRule>
  </conditionalFormatting>
  <conditionalFormatting sqref="AF36:AF38">
    <cfRule type="cellIs" dxfId="111" priority="79" operator="lessThan">
      <formula>6</formula>
    </cfRule>
  </conditionalFormatting>
  <conditionalFormatting sqref="AK36:AK38 AM36:AR38 AM44:AR48 AK44:AK48">
    <cfRule type="expression" dxfId="110" priority="89">
      <formula>#REF!=0</formula>
    </cfRule>
  </conditionalFormatting>
  <conditionalFormatting sqref="C49:AD49">
    <cfRule type="containsText" dxfId="109" priority="59" operator="containsText" text="중">
      <formula>NOT(ISERROR(SEARCH("중",C49)))</formula>
    </cfRule>
  </conditionalFormatting>
  <conditionalFormatting sqref="AF17:AR17 AT17:BA17 BD17:BG17">
    <cfRule type="containsText" dxfId="108" priority="44" operator="containsText" text="보수">
      <formula>NOT(ISERROR(SEARCH("보수",AF17)))</formula>
    </cfRule>
  </conditionalFormatting>
  <conditionalFormatting sqref="AE17">
    <cfRule type="cellIs" dxfId="107" priority="36" operator="lessThan">
      <formula>11</formula>
    </cfRule>
    <cfRule type="cellIs" dxfId="106" priority="37" operator="greaterThan">
      <formula>11</formula>
    </cfRule>
  </conditionalFormatting>
  <conditionalFormatting sqref="AF17:AH17">
    <cfRule type="cellIs" dxfId="105" priority="41" operator="greaterThan">
      <formula>6</formula>
    </cfRule>
  </conditionalFormatting>
  <conditionalFormatting sqref="AK17:AR17">
    <cfRule type="expression" dxfId="104" priority="43">
      <formula>EU17=0</formula>
    </cfRule>
  </conditionalFormatting>
  <conditionalFormatting sqref="AK17:AR17 AX17">
    <cfRule type="containsText" dxfId="103" priority="42" operator="containsText" text="0">
      <formula>NOT(ISERROR(SEARCH("0",AK17)))</formula>
    </cfRule>
  </conditionalFormatting>
  <conditionalFormatting sqref="AK17:AR17">
    <cfRule type="cellIs" dxfId="102" priority="39" operator="greaterThan">
      <formula>1</formula>
    </cfRule>
  </conditionalFormatting>
  <conditionalFormatting sqref="AK17:AR17">
    <cfRule type="cellIs" dxfId="101" priority="38" operator="lessThan">
      <formula>1</formula>
    </cfRule>
  </conditionalFormatting>
  <conditionalFormatting sqref="AZ17 BD17">
    <cfRule type="cellIs" dxfId="100" priority="40" operator="lessThan">
      <formula>4</formula>
    </cfRule>
  </conditionalFormatting>
  <conditionalFormatting sqref="AF17">
    <cfRule type="cellIs" dxfId="99" priority="35" operator="lessThan">
      <formula>6</formula>
    </cfRule>
  </conditionalFormatting>
  <conditionalFormatting sqref="AK29 AM29:AR30">
    <cfRule type="expression" dxfId="98" priority="196">
      <formula>EU31=0</formula>
    </cfRule>
  </conditionalFormatting>
  <conditionalFormatting sqref="AF30:AR30">
    <cfRule type="containsText" dxfId="97" priority="29" operator="containsText" text="보수">
      <formula>NOT(ISERROR(SEARCH("보수",AF30)))</formula>
    </cfRule>
  </conditionalFormatting>
  <conditionalFormatting sqref="AT30:BA30 BD30:BG30">
    <cfRule type="containsText" dxfId="96" priority="20" operator="containsText" text="보수">
      <formula>NOT(ISERROR(SEARCH("보수",AT30)))</formula>
    </cfRule>
  </conditionalFormatting>
  <conditionalFormatting sqref="AE30">
    <cfRule type="cellIs" dxfId="95" priority="21" operator="lessThan">
      <formula>11</formula>
    </cfRule>
    <cfRule type="cellIs" dxfId="94" priority="22" operator="greaterThan">
      <formula>11</formula>
    </cfRule>
  </conditionalFormatting>
  <conditionalFormatting sqref="AF30:AH30">
    <cfRule type="cellIs" dxfId="93" priority="26" operator="greaterThan">
      <formula>6</formula>
    </cfRule>
  </conditionalFormatting>
  <conditionalFormatting sqref="AL30">
    <cfRule type="expression" dxfId="92" priority="28">
      <formula>EV30=0</formula>
    </cfRule>
  </conditionalFormatting>
  <conditionalFormatting sqref="AX30 AK30:AR30">
    <cfRule type="containsText" dxfId="91" priority="27" operator="containsText" text="0">
      <formula>NOT(ISERROR(SEARCH("0",AK30)))</formula>
    </cfRule>
  </conditionalFormatting>
  <conditionalFormatting sqref="AK30:AR30">
    <cfRule type="cellIs" dxfId="90" priority="24" operator="greaterThan">
      <formula>1</formula>
    </cfRule>
  </conditionalFormatting>
  <conditionalFormatting sqref="AK30:AR30">
    <cfRule type="cellIs" dxfId="89" priority="23" operator="lessThan">
      <formula>1</formula>
    </cfRule>
  </conditionalFormatting>
  <conditionalFormatting sqref="BD30 AZ30">
    <cfRule type="cellIs" dxfId="88" priority="25" operator="lessThan">
      <formula>4</formula>
    </cfRule>
  </conditionalFormatting>
  <conditionalFormatting sqref="AF30">
    <cfRule type="cellIs" dxfId="87" priority="19" operator="lessThan">
      <formula>6</formula>
    </cfRule>
  </conditionalFormatting>
  <conditionalFormatting sqref="AK30">
    <cfRule type="expression" dxfId="86" priority="30">
      <formula>EU32=0</formula>
    </cfRule>
  </conditionalFormatting>
  <conditionalFormatting sqref="A3:B4 AE3:AF3">
    <cfRule type="containsText" dxfId="85" priority="18" operator="containsText" text="보수">
      <formula>NOT(ISERROR(SEARCH("보수",A3)))</formula>
    </cfRule>
  </conditionalFormatting>
  <conditionalFormatting sqref="AE50:AE54">
    <cfRule type="cellIs" dxfId="84" priority="12" operator="lessThan">
      <formula>11</formula>
    </cfRule>
    <cfRule type="cellIs" dxfId="83" priority="13" operator="greaterThan">
      <formula>11</formula>
    </cfRule>
  </conditionalFormatting>
  <conditionalFormatting sqref="AL50:AM54">
    <cfRule type="cellIs" dxfId="82" priority="14" operator="greaterThan">
      <formula>6</formula>
    </cfRule>
  </conditionalFormatting>
  <conditionalFormatting sqref="C50:AD54">
    <cfRule type="cellIs" dxfId="81" priority="10" operator="lessThan">
      <formula>6</formula>
    </cfRule>
    <cfRule type="cellIs" dxfId="80" priority="11" operator="greaterThan">
      <formula>6</formula>
    </cfRule>
  </conditionalFormatting>
  <conditionalFormatting sqref="J3:U3">
    <cfRule type="containsText" dxfId="79" priority="9" operator="containsText" text="보수">
      <formula>NOT(ISERROR(SEARCH("보수",J3)))</formula>
    </cfRule>
  </conditionalFormatting>
  <conditionalFormatting sqref="C4:AD4">
    <cfRule type="containsText" dxfId="78" priority="8" operator="containsText" text="보수">
      <formula>NOT(ISERROR(SEARCH("보수",C4)))</formula>
    </cfRule>
  </conditionalFormatting>
  <conditionalFormatting sqref="A16:A25">
    <cfRule type="containsText" dxfId="77" priority="2" operator="containsText" text="보수">
      <formula>NOT(ISERROR(SEARCH("보수",A16)))</formula>
    </cfRule>
  </conditionalFormatting>
  <conditionalFormatting sqref="AS16:AS25">
    <cfRule type="containsText" dxfId="76" priority="1" operator="containsText" text="보수">
      <formula>NOT(ISERROR(SEARCH("보수",AS16)))</formula>
    </cfRule>
  </conditionalFormatting>
  <dataValidations count="24">
    <dataValidation type="list" allowBlank="1" showInputMessage="1" showErrorMessage="1" sqref="G16:H16 AB7 AA22:AB22 C22:C24 U24 Q18 K15 AB11 Q7 J23 M20 O7 Z25 AD23 J12 L19 AD19 H11 K11 W19:W20 G8 I10:J10 C26 K26 Q26 AD17 AC8 Y27 Y21 E25 I21 Q13 G12 R8 T11:U11 AC16 AA16 L30 Y30 C31 I41 Q29">
      <formula1>"OFF"</formula1>
    </dataValidation>
    <dataValidation type="list" allowBlank="1" showInputMessage="1" showErrorMessage="1" sqref="Z7 L7 G11 P13 AA8:AB8 G7 H10 M8:N8 Q8 I12 N12 I7 AD35 X27 V33 L35 L42 N36 D32:D33 M29">
      <formula1>"D"</formula1>
    </dataValidation>
    <dataValidation type="list" allowBlank="1" showInputMessage="1" showErrorMessage="1" sqref="L22 R13:R14 R18 W9 M19 I11 L26 Z21 F25 P12:Q12 X20 AC7 Z16 H15 W33 C40 Z30 D31 T36 X29">
      <formula1>"생휴"</formula1>
    </dataValidation>
    <dataValidation type="list" allowBlank="1" showInputMessage="1" showErrorMessage="1" sqref="V13 N7 P7 C8 AB25 H21 K21 Y16 F26 I16 O10 V10 X22 M22 Z24 C30">
      <formula1>"N"</formula1>
    </dataValidation>
    <dataValidation type="list" allowBlank="1" showInputMessage="1" showErrorMessage="1" sqref="AB19">
      <formula1>"N 제외, D, E"</formula1>
    </dataValidation>
    <dataValidation type="list" allowBlank="1" showInputMessage="1" showErrorMessage="1" sqref="P24">
      <formula1>"D제외, E, N"</formula1>
    </dataValidation>
    <dataValidation type="list" allowBlank="1" showInputMessage="1" showErrorMessage="1" sqref="M7 X25 G15 P9 S7 AB27 G25 Y24 X30 AD39">
      <formula1>"E"</formula1>
    </dataValidation>
    <dataValidation type="list" allowBlank="1" showInputMessage="1" showErrorMessage="1" sqref="F18:G18 AA18 T18:U18 G20 N20 AA20:AB20 T20:U20 M18">
      <formula1>"D제외,E,N"</formula1>
    </dataValidation>
    <dataValidation type="list" allowBlank="1" showInputMessage="1" showErrorMessage="1" sqref="I23">
      <formula1>"특휴"</formula1>
    </dataValidation>
    <dataValidation type="list" allowBlank="1" showInputMessage="1" showErrorMessage="1" sqref="D8 T8 X33">
      <formula1>"휴가"</formula1>
    </dataValidation>
    <dataValidation type="list" allowBlank="1" showInputMessage="1" showErrorMessage="1" sqref="Q14 X9 O9 F7 Y33">
      <formula1>"off"</formula1>
    </dataValidation>
    <dataValidation type="list" allowBlank="1" showInputMessage="1" showErrorMessage="1" sqref="D19 N19 Y19">
      <formula1>"D 제외, E, N"</formula1>
    </dataValidation>
    <dataValidation type="list" allowBlank="1" showInputMessage="1" showErrorMessage="1" sqref="K19 V20">
      <formula1>"N제외, D, E"</formula1>
    </dataValidation>
    <dataValidation type="list" allowBlank="1" showInputMessage="1" showErrorMessage="1" sqref="AC23">
      <formula1>"수면(11&amp;12)"</formula1>
    </dataValidation>
    <dataValidation type="list" allowBlank="1" showInputMessage="1" showErrorMessage="1" sqref="O8">
      <formula1>"번표"</formula1>
    </dataValidation>
    <dataValidation type="list" allowBlank="1" showInputMessage="1" showErrorMessage="1" sqref="C12 Z22 S14 AA25 AA27 I34">
      <formula1>"수면12"</formula1>
    </dataValidation>
    <dataValidation type="list" allowBlank="1" showInputMessage="1" showErrorMessage="1" sqref="H26">
      <formula1>"수면(12월)"</formula1>
    </dataValidation>
    <dataValidation type="list" allowBlank="1" showInputMessage="1" showErrorMessage="1" sqref="P29">
      <formula1>"12월 수면"</formula1>
    </dataValidation>
    <dataValidation type="list" allowBlank="1" showInputMessage="1" showErrorMessage="1" sqref="P14">
      <formula1>"N제외,D,E, off"</formula1>
    </dataValidation>
    <dataValidation type="list" allowBlank="1" showInputMessage="1" showErrorMessage="1" sqref="AD34">
      <formula1>"경가"</formula1>
    </dataValidation>
    <dataValidation type="list" allowBlank="1" showInputMessage="1" showErrorMessage="1" sqref="AC13 X19 U19 J21 J15 N18 V9 F20 X21 V7 AB18 E41 AC36 O29">
      <formula1>"VAC"</formula1>
    </dataValidation>
    <dataValidation type="list" allowBlank="1" showInputMessage="1" showErrorMessage="1" sqref="J30">
      <formula1>"특휴,VAC"</formula1>
    </dataValidation>
    <dataValidation type="list" allowBlank="1" showInputMessage="1" showErrorMessage="1" sqref="P37">
      <formula1>"VAC,OFF"</formula1>
    </dataValidation>
    <dataValidation type="list" allowBlank="1" showInputMessage="1" showErrorMessage="1" sqref="AD7">
      <formula1>"D,VAC"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S54"/>
  <sheetViews>
    <sheetView zoomScale="70" zoomScaleNormal="70" workbookViewId="0">
      <selection activeCell="U30" sqref="U30"/>
    </sheetView>
  </sheetViews>
  <sheetFormatPr defaultRowHeight="16.5"/>
  <cols>
    <col min="1" max="1" width="7" style="148" customWidth="1"/>
    <col min="2" max="2" width="6.375" customWidth="1"/>
    <col min="3" max="30" width="4.75" style="95" customWidth="1"/>
    <col min="31" max="32" width="2.875" style="1" customWidth="1"/>
    <col min="33" max="33" width="2.5" style="1" customWidth="1"/>
    <col min="34" max="36" width="2.625" style="1" customWidth="1"/>
    <col min="37" max="44" width="3.25" style="1" customWidth="1"/>
    <col min="45" max="45" width="6.375" style="149" customWidth="1"/>
    <col min="46" max="58" width="4" style="1" customWidth="1"/>
  </cols>
  <sheetData>
    <row r="1" spans="1:71" ht="16.5" customHeight="1">
      <c r="A1" s="401" t="s">
        <v>55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  <c r="Y1" s="402"/>
      <c r="Z1" s="402"/>
      <c r="AA1" s="402"/>
      <c r="AB1" s="402"/>
      <c r="AC1" s="402"/>
      <c r="AD1" s="402"/>
    </row>
    <row r="2" spans="1:71" ht="63.75" customHeight="1" thickBot="1">
      <c r="A2" s="402"/>
      <c r="B2" s="402"/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402"/>
      <c r="O2" s="402"/>
      <c r="P2" s="402"/>
      <c r="Q2" s="402"/>
      <c r="R2" s="402"/>
      <c r="S2" s="402"/>
      <c r="T2" s="402"/>
      <c r="U2" s="402"/>
      <c r="V2" s="402"/>
      <c r="W2" s="402"/>
      <c r="X2" s="402"/>
      <c r="Y2" s="402"/>
      <c r="Z2" s="402"/>
      <c r="AA2" s="402"/>
      <c r="AB2" s="402"/>
      <c r="AC2" s="402"/>
      <c r="AD2" s="402"/>
    </row>
    <row r="3" spans="1:71" ht="21" thickBot="1">
      <c r="A3" s="138" t="s">
        <v>0</v>
      </c>
      <c r="B3" s="2"/>
      <c r="C3" s="3"/>
      <c r="D3" s="3"/>
      <c r="E3" s="4"/>
      <c r="F3" s="4"/>
      <c r="G3" s="3"/>
      <c r="H3" s="3"/>
      <c r="I3" s="3"/>
      <c r="J3" s="397" t="str">
        <f>'변경(260104_260131)'!J3:U3</f>
        <v>2026.01.04._26.01.31.</v>
      </c>
      <c r="K3" s="397"/>
      <c r="L3" s="397"/>
      <c r="M3" s="397"/>
      <c r="N3" s="397"/>
      <c r="O3" s="397"/>
      <c r="P3" s="397"/>
      <c r="Q3" s="397"/>
      <c r="R3" s="397"/>
      <c r="S3" s="397"/>
      <c r="T3" s="397"/>
      <c r="U3" s="397"/>
      <c r="V3" s="5"/>
      <c r="W3" s="6"/>
      <c r="X3" s="6"/>
      <c r="Y3" s="6"/>
      <c r="Z3" s="6"/>
      <c r="AA3" s="6"/>
      <c r="AB3" s="7" t="s">
        <v>1</v>
      </c>
      <c r="AC3" s="7"/>
      <c r="AD3" s="7"/>
      <c r="AE3" s="8"/>
      <c r="AF3" s="8"/>
      <c r="AG3" s="96"/>
      <c r="AH3" s="97"/>
      <c r="AI3" s="98"/>
      <c r="AJ3" s="99"/>
      <c r="AK3" s="9"/>
      <c r="AL3" s="9"/>
      <c r="AM3" s="10"/>
      <c r="AN3" s="11"/>
      <c r="AO3" s="12"/>
      <c r="AP3" s="12"/>
      <c r="AQ3" s="12"/>
      <c r="AR3" s="12"/>
      <c r="AS3" s="150" t="s">
        <v>2</v>
      </c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</row>
    <row r="4" spans="1:71" ht="18" thickBot="1">
      <c r="A4" s="139"/>
      <c r="B4" s="13"/>
      <c r="C4" s="349"/>
      <c r="D4" s="350"/>
      <c r="E4" s="351"/>
      <c r="F4" s="351"/>
      <c r="G4" s="352"/>
      <c r="H4" s="353"/>
      <c r="I4" s="354"/>
      <c r="J4" s="355"/>
      <c r="K4" s="356"/>
      <c r="L4" s="352"/>
      <c r="M4" s="353"/>
      <c r="N4" s="357"/>
      <c r="O4" s="353"/>
      <c r="P4" s="358"/>
      <c r="Q4" s="349"/>
      <c r="R4" s="359"/>
      <c r="S4" s="350"/>
      <c r="T4" s="360"/>
      <c r="U4" s="361"/>
      <c r="V4" s="350"/>
      <c r="W4" s="362"/>
      <c r="X4" s="363"/>
      <c r="Y4" s="353"/>
      <c r="Z4" s="356"/>
      <c r="AA4" s="350"/>
      <c r="AB4" s="364"/>
      <c r="AC4" s="364"/>
      <c r="AD4" s="365"/>
      <c r="AE4" s="113"/>
      <c r="AF4" s="114"/>
      <c r="AG4" s="100"/>
      <c r="AH4" s="100"/>
      <c r="AI4" s="398"/>
      <c r="AJ4" s="398"/>
      <c r="AK4" s="14"/>
      <c r="AL4" s="14"/>
      <c r="AM4" s="14"/>
      <c r="AN4" s="15"/>
      <c r="AO4" s="14"/>
      <c r="AP4" s="14"/>
      <c r="AQ4" s="14"/>
      <c r="AR4" s="14"/>
      <c r="AS4" s="151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</row>
    <row r="5" spans="1:71">
      <c r="A5" s="140"/>
      <c r="B5" s="280"/>
      <c r="C5" s="366">
        <f>'변경(260104_260131)'!C5</f>
        <v>4</v>
      </c>
      <c r="D5" s="370">
        <f>'변경(260104_260131)'!D5</f>
        <v>5</v>
      </c>
      <c r="E5" s="370">
        <f>'변경(260104_260131)'!E5</f>
        <v>6</v>
      </c>
      <c r="F5" s="370">
        <f>'변경(260104_260131)'!F5</f>
        <v>7</v>
      </c>
      <c r="G5" s="370">
        <f>'변경(260104_260131)'!G5</f>
        <v>8</v>
      </c>
      <c r="H5" s="370">
        <f>'변경(260104_260131)'!H5</f>
        <v>9</v>
      </c>
      <c r="I5" s="372">
        <f>'변경(260104_260131)'!I5</f>
        <v>10</v>
      </c>
      <c r="J5" s="366">
        <f>'변경(260104_260131)'!J5</f>
        <v>11</v>
      </c>
      <c r="K5" s="370">
        <f>'변경(260104_260131)'!K5</f>
        <v>12</v>
      </c>
      <c r="L5" s="370">
        <f>'변경(260104_260131)'!L5</f>
        <v>13</v>
      </c>
      <c r="M5" s="370">
        <f>'변경(260104_260131)'!M5</f>
        <v>14</v>
      </c>
      <c r="N5" s="370">
        <f>'변경(260104_260131)'!N5</f>
        <v>15</v>
      </c>
      <c r="O5" s="370">
        <f>'변경(260104_260131)'!O5</f>
        <v>16</v>
      </c>
      <c r="P5" s="371">
        <f>'변경(260104_260131)'!P5</f>
        <v>17</v>
      </c>
      <c r="Q5" s="368">
        <f>'변경(260104_260131)'!Q5</f>
        <v>18</v>
      </c>
      <c r="R5" s="370">
        <f>'변경(260104_260131)'!R5</f>
        <v>19</v>
      </c>
      <c r="S5" s="370">
        <f>'변경(260104_260131)'!S5</f>
        <v>20</v>
      </c>
      <c r="T5" s="370">
        <f>'변경(260104_260131)'!T5</f>
        <v>21</v>
      </c>
      <c r="U5" s="370">
        <f>'변경(260104_260131)'!U5</f>
        <v>22</v>
      </c>
      <c r="V5" s="370">
        <f>'변경(260104_260131)'!V5</f>
        <v>23</v>
      </c>
      <c r="W5" s="372">
        <f>'변경(260104_260131)'!W5</f>
        <v>24</v>
      </c>
      <c r="X5" s="366">
        <f>'변경(260104_260131)'!X5</f>
        <v>25</v>
      </c>
      <c r="Y5" s="370">
        <f>'변경(260104_260131)'!Y5</f>
        <v>26</v>
      </c>
      <c r="Z5" s="370">
        <f>'변경(260104_260131)'!Z5</f>
        <v>27</v>
      </c>
      <c r="AA5" s="370">
        <f>'변경(260104_260131)'!AA5</f>
        <v>28</v>
      </c>
      <c r="AB5" s="370">
        <f>'변경(260104_260131)'!AB5</f>
        <v>29</v>
      </c>
      <c r="AC5" s="370">
        <f>'변경(260104_260131)'!AC5</f>
        <v>30</v>
      </c>
      <c r="AD5" s="371">
        <f>'변경(260104_260131)'!AD5</f>
        <v>31</v>
      </c>
      <c r="AE5" s="283" t="s">
        <v>3</v>
      </c>
      <c r="AF5" s="115" t="s">
        <v>3</v>
      </c>
      <c r="AG5" s="101"/>
      <c r="AH5" s="101"/>
      <c r="AI5" s="398"/>
      <c r="AJ5" s="398"/>
      <c r="AK5" s="16">
        <v>1</v>
      </c>
      <c r="AL5" s="16"/>
      <c r="AM5" s="16">
        <v>2</v>
      </c>
      <c r="AN5" s="16"/>
      <c r="AO5" s="16">
        <v>3</v>
      </c>
      <c r="AP5" s="16"/>
      <c r="AQ5" s="16">
        <v>4</v>
      </c>
      <c r="AR5" s="16"/>
      <c r="AS5" s="152"/>
      <c r="AT5" s="17"/>
      <c r="AU5" s="17"/>
      <c r="AV5" s="17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71" ht="17.25" thickBot="1">
      <c r="A6" s="141"/>
      <c r="B6" s="281" t="s">
        <v>4</v>
      </c>
      <c r="C6" s="367" t="str">
        <f>'변경(260104_260131)'!C6</f>
        <v>일</v>
      </c>
      <c r="D6" s="373" t="str">
        <f>'변경(260104_260131)'!D6</f>
        <v>월</v>
      </c>
      <c r="E6" s="373" t="str">
        <f>'변경(260104_260131)'!E6</f>
        <v>화</v>
      </c>
      <c r="F6" s="373" t="str">
        <f>'변경(260104_260131)'!F6</f>
        <v>수</v>
      </c>
      <c r="G6" s="373" t="str">
        <f>'변경(260104_260131)'!G6</f>
        <v>목</v>
      </c>
      <c r="H6" s="373" t="str">
        <f>'변경(260104_260131)'!H6</f>
        <v>금</v>
      </c>
      <c r="I6" s="375" t="str">
        <f>'변경(260104_260131)'!I6</f>
        <v>토</v>
      </c>
      <c r="J6" s="367" t="str">
        <f>'변경(260104_260131)'!J6</f>
        <v>일</v>
      </c>
      <c r="K6" s="373" t="str">
        <f>'변경(260104_260131)'!K6</f>
        <v>월</v>
      </c>
      <c r="L6" s="373" t="str">
        <f>'변경(260104_260131)'!L6</f>
        <v>화</v>
      </c>
      <c r="M6" s="373" t="str">
        <f>'변경(260104_260131)'!M6</f>
        <v>수</v>
      </c>
      <c r="N6" s="373" t="str">
        <f>'변경(260104_260131)'!N6</f>
        <v>목</v>
      </c>
      <c r="O6" s="373" t="str">
        <f>'변경(260104_260131)'!O6</f>
        <v>금</v>
      </c>
      <c r="P6" s="374" t="str">
        <f>'변경(260104_260131)'!P6</f>
        <v>토</v>
      </c>
      <c r="Q6" s="369" t="str">
        <f>'변경(260104_260131)'!Q6</f>
        <v>일</v>
      </c>
      <c r="R6" s="373" t="str">
        <f>'변경(260104_260131)'!R6</f>
        <v>월</v>
      </c>
      <c r="S6" s="373" t="str">
        <f>'변경(260104_260131)'!S6</f>
        <v>화</v>
      </c>
      <c r="T6" s="373" t="str">
        <f>'변경(260104_260131)'!T6</f>
        <v>수</v>
      </c>
      <c r="U6" s="373" t="str">
        <f>'변경(260104_260131)'!U6</f>
        <v>목</v>
      </c>
      <c r="V6" s="373" t="str">
        <f>'변경(260104_260131)'!V6</f>
        <v>금</v>
      </c>
      <c r="W6" s="375" t="str">
        <f>'변경(260104_260131)'!W6</f>
        <v>토</v>
      </c>
      <c r="X6" s="367" t="str">
        <f>'변경(260104_260131)'!X6</f>
        <v>일</v>
      </c>
      <c r="Y6" s="373" t="str">
        <f>'변경(260104_260131)'!Y6</f>
        <v>월</v>
      </c>
      <c r="Z6" s="373" t="str">
        <f>'변경(260104_260131)'!Z6</f>
        <v>화</v>
      </c>
      <c r="AA6" s="373" t="str">
        <f>'변경(260104_260131)'!AA6</f>
        <v>수</v>
      </c>
      <c r="AB6" s="373" t="str">
        <f>'변경(260104_260131)'!AB6</f>
        <v>목</v>
      </c>
      <c r="AC6" s="373" t="str">
        <f>'변경(260104_260131)'!AC6</f>
        <v>금</v>
      </c>
      <c r="AD6" s="374" t="str">
        <f>'변경(260104_260131)'!AD6</f>
        <v>토</v>
      </c>
      <c r="AE6" s="382" t="s">
        <v>5</v>
      </c>
      <c r="AF6" s="194" t="s">
        <v>6</v>
      </c>
      <c r="AG6" s="101"/>
      <c r="AH6" s="101"/>
      <c r="AI6" s="243"/>
      <c r="AJ6" s="103"/>
      <c r="AK6" s="19" t="s">
        <v>7</v>
      </c>
      <c r="AL6" s="19" t="s">
        <v>5</v>
      </c>
      <c r="AM6" s="19" t="s">
        <v>7</v>
      </c>
      <c r="AN6" s="19" t="s">
        <v>5</v>
      </c>
      <c r="AO6" s="19" t="s">
        <v>7</v>
      </c>
      <c r="AP6" s="19" t="s">
        <v>5</v>
      </c>
      <c r="AQ6" s="19" t="s">
        <v>7</v>
      </c>
      <c r="AR6" s="19" t="s">
        <v>5</v>
      </c>
      <c r="AS6" s="153"/>
      <c r="AT6" s="17" t="s">
        <v>8</v>
      </c>
      <c r="AU6" s="17" t="s">
        <v>9</v>
      </c>
      <c r="AV6" s="17" t="s">
        <v>10</v>
      </c>
      <c r="AW6" s="11" t="s">
        <v>11</v>
      </c>
      <c r="AX6" s="11" t="s">
        <v>12</v>
      </c>
      <c r="AY6" s="11" t="s">
        <v>13</v>
      </c>
      <c r="AZ6" s="11" t="s">
        <v>5</v>
      </c>
      <c r="BA6" s="11" t="s">
        <v>14</v>
      </c>
      <c r="BB6" s="11" t="s">
        <v>15</v>
      </c>
      <c r="BC6" s="11" t="s">
        <v>16</v>
      </c>
      <c r="BD6" s="11" t="s">
        <v>17</v>
      </c>
      <c r="BE6" s="11" t="s">
        <v>6</v>
      </c>
      <c r="BF6" s="11" t="s">
        <v>18</v>
      </c>
      <c r="BS6">
        <v>1</v>
      </c>
    </row>
    <row r="7" spans="1:71">
      <c r="A7" s="142" t="s">
        <v>19</v>
      </c>
      <c r="B7" s="120"/>
      <c r="C7" s="130" t="str">
        <f>IF(EXACT('변경(260104_260131)'!C7,'원번표(수정불가)'!C7)=$BS$9,"","변경")</f>
        <v/>
      </c>
      <c r="D7" s="56" t="str">
        <f>IF(EXACT('변경(260104_260131)'!D7,'원번표(수정불가)'!D7)=$BS$9,"","변경")</f>
        <v/>
      </c>
      <c r="E7" s="56" t="str">
        <f>IF(EXACT('변경(260104_260131)'!E7,'원번표(수정불가)'!E7)=$BS$9,"","변경")</f>
        <v/>
      </c>
      <c r="F7" s="56" t="str">
        <f>IF(EXACT('변경(260104_260131)'!F7,'원번표(수정불가)'!F7)=$BS$9,"","변경")</f>
        <v/>
      </c>
      <c r="G7" s="56" t="str">
        <f>IF(EXACT('변경(260104_260131)'!G7,'원번표(수정불가)'!G7)=$BS$9,"","변경")</f>
        <v/>
      </c>
      <c r="H7" s="56" t="str">
        <f>IF(EXACT('변경(260104_260131)'!H7,'원번표(수정불가)'!H7)=$BS$9,"","변경")</f>
        <v/>
      </c>
      <c r="I7" s="232" t="str">
        <f>IF(EXACT('변경(260104_260131)'!I7,'원번표(수정불가)'!I7)=$BS$9,"","변경")</f>
        <v/>
      </c>
      <c r="J7" s="130" t="str">
        <f>IF(EXACT('변경(260104_260131)'!J7,'원번표(수정불가)'!J7)=$BS$9,"","변경")</f>
        <v/>
      </c>
      <c r="K7" s="56" t="str">
        <f>IF(EXACT('변경(260104_260131)'!K7,'원번표(수정불가)'!K7)=$BS$9,"","변경")</f>
        <v/>
      </c>
      <c r="L7" s="56" t="str">
        <f>IF(EXACT('변경(260104_260131)'!L7,'원번표(수정불가)'!L7)=$BS$9,"","변경")</f>
        <v/>
      </c>
      <c r="M7" s="56" t="str">
        <f>IF(EXACT('변경(260104_260131)'!M7,'원번표(수정불가)'!M7)=$BS$9,"","변경")</f>
        <v/>
      </c>
      <c r="N7" s="56" t="str">
        <f>IF(EXACT('변경(260104_260131)'!N7,'원번표(수정불가)'!N7)=$BS$9,"","변경")</f>
        <v/>
      </c>
      <c r="O7" s="56" t="str">
        <f>IF(EXACT('변경(260104_260131)'!O7,'원번표(수정불가)'!O7)=$BS$9,"","변경")</f>
        <v/>
      </c>
      <c r="P7" s="232" t="str">
        <f>IF(EXACT('변경(260104_260131)'!P7,'원번표(수정불가)'!P7)=$BS$9,"","변경")</f>
        <v/>
      </c>
      <c r="Q7" s="130" t="str">
        <f>IF(EXACT('변경(260104_260131)'!Q7,'원번표(수정불가)'!Q7)=$BS$9,"","변경")</f>
        <v/>
      </c>
      <c r="R7" s="56" t="str">
        <f>IF(EXACT('변경(260104_260131)'!R7,'원번표(수정불가)'!R7)=$BS$9,"","변경")</f>
        <v/>
      </c>
      <c r="S7" s="56" t="str">
        <f>IF(EXACT('변경(260104_260131)'!S7,'원번표(수정불가)'!S7)=$BS$9,"","변경")</f>
        <v/>
      </c>
      <c r="T7" s="56" t="str">
        <f>IF(EXACT('변경(260104_260131)'!T7,'원번표(수정불가)'!T7)=$BS$9,"","변경")</f>
        <v/>
      </c>
      <c r="U7" s="56" t="str">
        <f>IF(EXACT('변경(260104_260131)'!U7,'원번표(수정불가)'!U7)=$BS$9,"","변경")</f>
        <v/>
      </c>
      <c r="V7" s="56" t="str">
        <f>IF(EXACT('변경(260104_260131)'!V7,'원번표(수정불가)'!V7)=$BS$9,"","변경")</f>
        <v/>
      </c>
      <c r="W7" s="232" t="str">
        <f>IF(EXACT('변경(260104_260131)'!W7,'원번표(수정불가)'!W7)=$BS$9,"","변경")</f>
        <v/>
      </c>
      <c r="X7" s="130" t="str">
        <f>IF(EXACT('변경(260104_260131)'!X7,'원번표(수정불가)'!X7)=$BS$9,"","변경")</f>
        <v/>
      </c>
      <c r="Y7" s="56" t="str">
        <f>IF(EXACT('변경(260104_260131)'!Y7,'원번표(수정불가)'!Y7)=$BS$9,"","변경")</f>
        <v/>
      </c>
      <c r="Z7" s="56" t="str">
        <f>IF(EXACT('변경(260104_260131)'!Z7,'원번표(수정불가)'!Z7)=$BS$9,"","변경")</f>
        <v/>
      </c>
      <c r="AA7" s="56" t="str">
        <f>IF(EXACT('변경(260104_260131)'!AA7,'원번표(수정불가)'!AA7)=$BS$9,"","변경")</f>
        <v/>
      </c>
      <c r="AB7" s="56" t="str">
        <f>IF(EXACT('변경(260104_260131)'!AB7,'원번표(수정불가)'!AB7)=$BS$9,"","변경")</f>
        <v/>
      </c>
      <c r="AC7" s="56" t="str">
        <f>IF(EXACT('변경(260104_260131)'!AC7,'원번표(수정불가)'!AC7)=$BS$9,"","변경")</f>
        <v/>
      </c>
      <c r="AD7" s="137" t="str">
        <f>IF(EXACT('변경(260104_260131)'!AD7,'원번표(수정불가)'!AD7)=$BS$9,"","변경")</f>
        <v/>
      </c>
      <c r="AE7" s="195">
        <f t="shared" ref="AE7:AE48" si="0">SUM(AT7:BC7)</f>
        <v>0</v>
      </c>
      <c r="AF7" s="196">
        <f>COUNTIF(C7:AD7,"N")</f>
        <v>0</v>
      </c>
      <c r="AG7" s="104"/>
      <c r="AH7" s="105"/>
      <c r="AI7" s="106"/>
      <c r="AJ7" s="106"/>
      <c r="AK7" s="174">
        <f t="shared" ref="AK7:AK38" si="1">COUNTIF($C7:$I7,AK$6)</f>
        <v>0</v>
      </c>
      <c r="AL7" s="26">
        <f t="shared" ref="AL7:AL38" si="2">COUNTIF($C7:$I7,AL$6&amp;"*")</f>
        <v>0</v>
      </c>
      <c r="AM7" s="26">
        <f t="shared" ref="AM7:AN23" si="3">COUNTIF($J7:$P7,AM$6)</f>
        <v>0</v>
      </c>
      <c r="AN7" s="26">
        <f t="shared" si="3"/>
        <v>0</v>
      </c>
      <c r="AO7" s="26">
        <f t="shared" ref="AO7:AP23" si="4">COUNTIF($Q7:$W7,AO$6)</f>
        <v>0</v>
      </c>
      <c r="AP7" s="26">
        <f t="shared" si="4"/>
        <v>0</v>
      </c>
      <c r="AQ7" s="26">
        <f t="shared" ref="AQ7:AR23" si="5">COUNTIF($X7:$AD7,AQ$6)</f>
        <v>0</v>
      </c>
      <c r="AR7" s="26">
        <f t="shared" si="5"/>
        <v>0</v>
      </c>
      <c r="AS7" s="142" t="s">
        <v>19</v>
      </c>
      <c r="AT7" s="17">
        <f t="shared" ref="AT7:AT48" si="6">COUNTIF(C7:AD7,"특*")</f>
        <v>0</v>
      </c>
      <c r="AU7" s="17">
        <f t="shared" ref="AU7:AU48" si="7">COUNTIF(C7:AD7,"경가")</f>
        <v>0</v>
      </c>
      <c r="AV7" s="17">
        <f t="shared" ref="AV7:AV48" si="8">COUNTIF(C7:AD7,"병*")</f>
        <v>0</v>
      </c>
      <c r="AW7" s="11">
        <f t="shared" ref="AW7:AW48" si="9">COUNTIF(C7:AD7,"공*")</f>
        <v>0</v>
      </c>
      <c r="AX7" s="11">
        <f t="shared" ref="AX7:AX48" si="10">COUNTIF(C7:AD7,"생*")+COUNTIF(C7:AD7,"산전")+COUNTIF(C7:AD7,"검진")</f>
        <v>0</v>
      </c>
      <c r="AY7" s="11">
        <f t="shared" ref="AY7:AY48" si="11">COUNTIF(C7:AD7,"법*")</f>
        <v>0</v>
      </c>
      <c r="AZ7" s="11">
        <f t="shared" ref="AZ7:AZ48" si="12">COUNTIF(C7:AD7,"*OFF*")</f>
        <v>0</v>
      </c>
      <c r="BA7" s="11">
        <f t="shared" ref="BA7:BA48" si="13">COUNTIF(C7:AD7,"VAC*")+COUNTIF(C7:AD7,"휴가")</f>
        <v>0</v>
      </c>
      <c r="BB7" s="11">
        <f t="shared" ref="BB7:BB48" si="14">COUNTIF(C7:AD7,"수면*")</f>
        <v>0</v>
      </c>
      <c r="BC7" s="11">
        <f t="shared" ref="BC7:BC48" si="15">COUNTIF(C7:AD7,"주")</f>
        <v>0</v>
      </c>
      <c r="BD7" s="28">
        <f t="shared" ref="BD7:BD48" si="16">SUM(AX7:BC7)</f>
        <v>0</v>
      </c>
      <c r="BE7" s="29">
        <f t="shared" ref="BE7:BE48" si="17">COUNTIF(J7:AD7,"N")</f>
        <v>0</v>
      </c>
      <c r="BF7" s="11">
        <f t="shared" ref="BF7:BF48" si="18">SUM(AU7:BC7)</f>
        <v>0</v>
      </c>
      <c r="BS7">
        <v>1</v>
      </c>
    </row>
    <row r="8" spans="1:71">
      <c r="A8" s="40" t="s">
        <v>21</v>
      </c>
      <c r="B8" s="121"/>
      <c r="C8" s="31" t="str">
        <f>IF(EXACT('변경(260104_260131)'!C8,'원번표(수정불가)'!C8)=$BS$9,"","변경")</f>
        <v/>
      </c>
      <c r="D8" s="32" t="str">
        <f>IF(EXACT('변경(260104_260131)'!D8,'원번표(수정불가)'!D8)=$BS$9,"","변경")</f>
        <v/>
      </c>
      <c r="E8" s="32" t="str">
        <f>IF(EXACT('변경(260104_260131)'!E8,'원번표(수정불가)'!E8)=$BS$9,"","변경")</f>
        <v/>
      </c>
      <c r="F8" s="32" t="str">
        <f>IF(EXACT('변경(260104_260131)'!F8,'원번표(수정불가)'!F8)=$BS$9,"","변경")</f>
        <v/>
      </c>
      <c r="G8" s="32" t="str">
        <f>IF(EXACT('변경(260104_260131)'!G8,'원번표(수정불가)'!G8)=$BS$9,"","변경")</f>
        <v/>
      </c>
      <c r="H8" s="32" t="str">
        <f>IF(EXACT('변경(260104_260131)'!H8,'원번표(수정불가)'!H8)=$BS$9,"","변경")</f>
        <v/>
      </c>
      <c r="I8" s="33" t="str">
        <f>IF(EXACT('변경(260104_260131)'!I8,'원번표(수정불가)'!I8)=$BS$9,"","변경")</f>
        <v/>
      </c>
      <c r="J8" s="31" t="str">
        <f>IF(EXACT('변경(260104_260131)'!J8,'원번표(수정불가)'!J8)=$BS$9,"","변경")</f>
        <v/>
      </c>
      <c r="K8" s="32" t="str">
        <f>IF(EXACT('변경(260104_260131)'!K8,'원번표(수정불가)'!K8)=$BS$9,"","변경")</f>
        <v/>
      </c>
      <c r="L8" s="32" t="str">
        <f>IF(EXACT('변경(260104_260131)'!L8,'원번표(수정불가)'!L8)=$BS$9,"","변경")</f>
        <v/>
      </c>
      <c r="M8" s="32" t="str">
        <f>IF(EXACT('변경(260104_260131)'!M8,'원번표(수정불가)'!M8)=$BS$9,"","변경")</f>
        <v/>
      </c>
      <c r="N8" s="32" t="str">
        <f>IF(EXACT('변경(260104_260131)'!N8,'원번표(수정불가)'!N8)=$BS$9,"","변경")</f>
        <v/>
      </c>
      <c r="O8" s="32" t="str">
        <f>IF(EXACT('변경(260104_260131)'!O8,'원번표(수정불가)'!O8)=$BS$9,"","변경")</f>
        <v/>
      </c>
      <c r="P8" s="33" t="str">
        <f>IF(EXACT('변경(260104_260131)'!P8,'원번표(수정불가)'!P8)=$BS$9,"","변경")</f>
        <v/>
      </c>
      <c r="Q8" s="31" t="str">
        <f>IF(EXACT('변경(260104_260131)'!Q8,'원번표(수정불가)'!Q8)=$BS$9,"","변경")</f>
        <v/>
      </c>
      <c r="R8" s="32" t="str">
        <f>IF(EXACT('변경(260104_260131)'!R8,'원번표(수정불가)'!R8)=$BS$9,"","변경")</f>
        <v/>
      </c>
      <c r="S8" s="32" t="str">
        <f>IF(EXACT('변경(260104_260131)'!S8,'원번표(수정불가)'!S8)=$BS$9,"","변경")</f>
        <v/>
      </c>
      <c r="T8" s="32" t="str">
        <f>IF(EXACT('변경(260104_260131)'!T8,'원번표(수정불가)'!T8)=$BS$9,"","변경")</f>
        <v/>
      </c>
      <c r="U8" s="32" t="str">
        <f>IF(EXACT('변경(260104_260131)'!U8,'원번표(수정불가)'!U8)=$BS$9,"","변경")</f>
        <v/>
      </c>
      <c r="V8" s="32" t="str">
        <f>IF(EXACT('변경(260104_260131)'!V8,'원번표(수정불가)'!V8)=$BS$9,"","변경")</f>
        <v/>
      </c>
      <c r="W8" s="33" t="str">
        <f>IF(EXACT('변경(260104_260131)'!W8,'원번표(수정불가)'!W8)=$BS$9,"","변경")</f>
        <v/>
      </c>
      <c r="X8" s="31" t="str">
        <f>IF(EXACT('변경(260104_260131)'!X8,'원번표(수정불가)'!X8)=$BS$9,"","변경")</f>
        <v/>
      </c>
      <c r="Y8" s="32" t="str">
        <f>IF(EXACT('변경(260104_260131)'!Y8,'원번표(수정불가)'!Y8)=$BS$9,"","변경")</f>
        <v/>
      </c>
      <c r="Z8" s="32" t="str">
        <f>IF(EXACT('변경(260104_260131)'!Z8,'원번표(수정불가)'!Z8)=$BS$9,"","변경")</f>
        <v/>
      </c>
      <c r="AA8" s="32" t="str">
        <f>IF(EXACT('변경(260104_260131)'!AA8,'원번표(수정불가)'!AA8)=$BS$9,"","변경")</f>
        <v/>
      </c>
      <c r="AB8" s="32" t="str">
        <f>IF(EXACT('변경(260104_260131)'!AB8,'원번표(수정불가)'!AB8)=$BS$9,"","변경")</f>
        <v/>
      </c>
      <c r="AC8" s="32" t="str">
        <f>IF(EXACT('변경(260104_260131)'!AC8,'원번표(수정불가)'!AC8)=$BS$9,"","변경")</f>
        <v/>
      </c>
      <c r="AD8" s="73" t="str">
        <f>IF(EXACT('변경(260104_260131)'!AD8,'원번표(수정불가)'!AD8)=$BS$9,"","변경")</f>
        <v/>
      </c>
      <c r="AE8" s="197">
        <f t="shared" si="0"/>
        <v>0</v>
      </c>
      <c r="AF8" s="198">
        <f t="shared" ref="AF8:AF48" si="19">COUNTIF(C8:AD8,"N")</f>
        <v>0</v>
      </c>
      <c r="AG8" s="104"/>
      <c r="AH8" s="105"/>
      <c r="AI8" s="106"/>
      <c r="AJ8" s="106"/>
      <c r="AK8" s="175">
        <f t="shared" si="1"/>
        <v>0</v>
      </c>
      <c r="AL8" s="38">
        <f t="shared" si="2"/>
        <v>0</v>
      </c>
      <c r="AM8" s="38">
        <f t="shared" si="3"/>
        <v>0</v>
      </c>
      <c r="AN8" s="38">
        <f>COUNTIF($J8:$P8,AN$6)</f>
        <v>0</v>
      </c>
      <c r="AO8" s="38">
        <f t="shared" si="4"/>
        <v>0</v>
      </c>
      <c r="AP8" s="38">
        <f t="shared" si="4"/>
        <v>0</v>
      </c>
      <c r="AQ8" s="38">
        <f t="shared" si="5"/>
        <v>0</v>
      </c>
      <c r="AR8" s="38">
        <f t="shared" si="5"/>
        <v>0</v>
      </c>
      <c r="AS8" s="40" t="s">
        <v>21</v>
      </c>
      <c r="AT8" s="17">
        <f t="shared" si="6"/>
        <v>0</v>
      </c>
      <c r="AU8" s="17">
        <f t="shared" si="7"/>
        <v>0</v>
      </c>
      <c r="AV8" s="17">
        <f t="shared" si="8"/>
        <v>0</v>
      </c>
      <c r="AW8" s="11">
        <f t="shared" si="9"/>
        <v>0</v>
      </c>
      <c r="AX8" s="11">
        <f t="shared" si="10"/>
        <v>0</v>
      </c>
      <c r="AY8" s="11">
        <f t="shared" si="11"/>
        <v>0</v>
      </c>
      <c r="AZ8" s="11">
        <f t="shared" si="12"/>
        <v>0</v>
      </c>
      <c r="BA8" s="11">
        <f t="shared" si="13"/>
        <v>0</v>
      </c>
      <c r="BB8" s="11">
        <f t="shared" si="14"/>
        <v>0</v>
      </c>
      <c r="BC8" s="11">
        <f t="shared" si="15"/>
        <v>0</v>
      </c>
      <c r="BD8" s="28">
        <f t="shared" si="16"/>
        <v>0</v>
      </c>
      <c r="BE8" s="29">
        <f t="shared" si="17"/>
        <v>0</v>
      </c>
      <c r="BF8" s="11">
        <f t="shared" si="18"/>
        <v>0</v>
      </c>
      <c r="BS8">
        <v>2</v>
      </c>
    </row>
    <row r="9" spans="1:71">
      <c r="A9" s="40" t="s">
        <v>22</v>
      </c>
      <c r="B9" s="122"/>
      <c r="C9" s="31" t="str">
        <f>IF(EXACT('변경(260104_260131)'!C9,'원번표(수정불가)'!C9)=$BS$9,"","변경")</f>
        <v/>
      </c>
      <c r="D9" s="32" t="str">
        <f>IF(EXACT('변경(260104_260131)'!D9,'원번표(수정불가)'!D9)=$BS$9,"","변경")</f>
        <v/>
      </c>
      <c r="E9" s="32" t="str">
        <f>IF(EXACT('변경(260104_260131)'!E9,'원번표(수정불가)'!E9)=$BS$9,"","변경")</f>
        <v/>
      </c>
      <c r="F9" s="32" t="str">
        <f>IF(EXACT('변경(260104_260131)'!F9,'원번표(수정불가)'!F9)=$BS$9,"","변경")</f>
        <v/>
      </c>
      <c r="G9" s="32" t="str">
        <f>IF(EXACT('변경(260104_260131)'!G9,'원번표(수정불가)'!G9)=$BS$9,"","변경")</f>
        <v/>
      </c>
      <c r="H9" s="32" t="str">
        <f>IF(EXACT('변경(260104_260131)'!H9,'원번표(수정불가)'!H9)=$BS$9,"","변경")</f>
        <v/>
      </c>
      <c r="I9" s="33" t="str">
        <f>IF(EXACT('변경(260104_260131)'!I9,'원번표(수정불가)'!I9)=$BS$9,"","변경")</f>
        <v>변경</v>
      </c>
      <c r="J9" s="31" t="str">
        <f>IF(EXACT('변경(260104_260131)'!J9,'원번표(수정불가)'!J9)=$BS$9,"","변경")</f>
        <v/>
      </c>
      <c r="K9" s="32" t="str">
        <f>IF(EXACT('변경(260104_260131)'!K9,'원번표(수정불가)'!K9)=$BS$9,"","변경")</f>
        <v/>
      </c>
      <c r="L9" s="32" t="str">
        <f>IF(EXACT('변경(260104_260131)'!L9,'원번표(수정불가)'!L9)=$BS$9,"","변경")</f>
        <v/>
      </c>
      <c r="M9" s="32" t="str">
        <f>IF(EXACT('변경(260104_260131)'!M9,'원번표(수정불가)'!M9)=$BS$9,"","변경")</f>
        <v/>
      </c>
      <c r="N9" s="32" t="str">
        <f>IF(EXACT('변경(260104_260131)'!N9,'원번표(수정불가)'!N9)=$BS$9,"","변경")</f>
        <v/>
      </c>
      <c r="O9" s="32" t="str">
        <f>IF(EXACT('변경(260104_260131)'!O9,'원번표(수정불가)'!O9)=$BS$9,"","변경")</f>
        <v/>
      </c>
      <c r="P9" s="33" t="str">
        <f>IF(EXACT('변경(260104_260131)'!P9,'원번표(수정불가)'!P9)=$BS$9,"","변경")</f>
        <v/>
      </c>
      <c r="Q9" s="31" t="str">
        <f>IF(EXACT('변경(260104_260131)'!Q9,'원번표(수정불가)'!Q9)=$BS$9,"","변경")</f>
        <v/>
      </c>
      <c r="R9" s="32" t="str">
        <f>IF(EXACT('변경(260104_260131)'!R9,'원번표(수정불가)'!R9)=$BS$9,"","변경")</f>
        <v/>
      </c>
      <c r="S9" s="32" t="str">
        <f>IF(EXACT('변경(260104_260131)'!S9,'원번표(수정불가)'!S9)=$BS$9,"","변경")</f>
        <v/>
      </c>
      <c r="T9" s="32" t="str">
        <f>IF(EXACT('변경(260104_260131)'!T9,'원번표(수정불가)'!T9)=$BS$9,"","변경")</f>
        <v/>
      </c>
      <c r="U9" s="32" t="str">
        <f>IF(EXACT('변경(260104_260131)'!U9,'원번표(수정불가)'!U9)=$BS$9,"","변경")</f>
        <v/>
      </c>
      <c r="V9" s="32" t="str">
        <f>IF(EXACT('변경(260104_260131)'!V9,'원번표(수정불가)'!V9)=$BS$9,"","변경")</f>
        <v/>
      </c>
      <c r="W9" s="33" t="str">
        <f>IF(EXACT('변경(260104_260131)'!W9,'원번표(수정불가)'!W9)=$BS$9,"","변경")</f>
        <v/>
      </c>
      <c r="X9" s="31" t="str">
        <f>IF(EXACT('변경(260104_260131)'!X9,'원번표(수정불가)'!X9)=$BS$9,"","변경")</f>
        <v/>
      </c>
      <c r="Y9" s="32" t="str">
        <f>IF(EXACT('변경(260104_260131)'!Y9,'원번표(수정불가)'!Y9)=$BS$9,"","변경")</f>
        <v/>
      </c>
      <c r="Z9" s="32" t="str">
        <f>IF(EXACT('변경(260104_260131)'!Z9,'원번표(수정불가)'!Z9)=$BS$9,"","변경")</f>
        <v/>
      </c>
      <c r="AA9" s="32" t="str">
        <f>IF(EXACT('변경(260104_260131)'!AA9,'원번표(수정불가)'!AA9)=$BS$9,"","변경")</f>
        <v/>
      </c>
      <c r="AB9" s="32" t="str">
        <f>IF(EXACT('변경(260104_260131)'!AB9,'원번표(수정불가)'!AB9)=$BS$9,"","변경")</f>
        <v/>
      </c>
      <c r="AC9" s="32" t="str">
        <f>IF(EXACT('변경(260104_260131)'!AC9,'원번표(수정불가)'!AC9)=$BS$9,"","변경")</f>
        <v/>
      </c>
      <c r="AD9" s="73" t="str">
        <f>IF(EXACT('변경(260104_260131)'!AD9,'원번표(수정불가)'!AD9)=$BS$9,"","변경")</f>
        <v>변경</v>
      </c>
      <c r="AE9" s="197">
        <f t="shared" si="0"/>
        <v>0</v>
      </c>
      <c r="AF9" s="198">
        <f t="shared" si="19"/>
        <v>0</v>
      </c>
      <c r="AG9" s="104"/>
      <c r="AH9" s="105"/>
      <c r="AI9" s="106"/>
      <c r="AJ9" s="106"/>
      <c r="AK9" s="175">
        <f t="shared" si="1"/>
        <v>0</v>
      </c>
      <c r="AL9" s="38">
        <f t="shared" si="2"/>
        <v>0</v>
      </c>
      <c r="AM9" s="38">
        <f t="shared" si="3"/>
        <v>0</v>
      </c>
      <c r="AN9" s="38">
        <f t="shared" si="3"/>
        <v>0</v>
      </c>
      <c r="AO9" s="38">
        <f t="shared" si="4"/>
        <v>0</v>
      </c>
      <c r="AP9" s="38">
        <f t="shared" si="4"/>
        <v>0</v>
      </c>
      <c r="AQ9" s="38">
        <f t="shared" si="5"/>
        <v>0</v>
      </c>
      <c r="AR9" s="38">
        <f t="shared" si="5"/>
        <v>0</v>
      </c>
      <c r="AS9" s="40" t="s">
        <v>22</v>
      </c>
      <c r="AT9" s="17">
        <f t="shared" si="6"/>
        <v>0</v>
      </c>
      <c r="AU9" s="17">
        <f t="shared" si="7"/>
        <v>0</v>
      </c>
      <c r="AV9" s="17">
        <f t="shared" si="8"/>
        <v>0</v>
      </c>
      <c r="AW9" s="11">
        <f t="shared" si="9"/>
        <v>0</v>
      </c>
      <c r="AX9" s="11">
        <f t="shared" si="10"/>
        <v>0</v>
      </c>
      <c r="AY9" s="11">
        <f t="shared" si="11"/>
        <v>0</v>
      </c>
      <c r="AZ9" s="11">
        <f t="shared" si="12"/>
        <v>0</v>
      </c>
      <c r="BA9" s="11">
        <f t="shared" si="13"/>
        <v>0</v>
      </c>
      <c r="BB9" s="11">
        <f t="shared" si="14"/>
        <v>0</v>
      </c>
      <c r="BC9" s="11">
        <f t="shared" si="15"/>
        <v>0</v>
      </c>
      <c r="BD9" s="28">
        <f t="shared" si="16"/>
        <v>0</v>
      </c>
      <c r="BE9" s="29">
        <f t="shared" si="17"/>
        <v>0</v>
      </c>
      <c r="BF9" s="11">
        <f t="shared" si="18"/>
        <v>0</v>
      </c>
      <c r="BS9" t="b">
        <f>EXACT(BS6,BS7)</f>
        <v>1</v>
      </c>
    </row>
    <row r="10" spans="1:71">
      <c r="A10" s="40" t="s">
        <v>23</v>
      </c>
      <c r="B10" s="121"/>
      <c r="C10" s="31" t="str">
        <f>IF(EXACT('변경(260104_260131)'!C10,'원번표(수정불가)'!C10)=$BS$9,"","변경")</f>
        <v/>
      </c>
      <c r="D10" s="32" t="str">
        <f>IF(EXACT('변경(260104_260131)'!D10,'원번표(수정불가)'!D10)=$BS$9,"","변경")</f>
        <v/>
      </c>
      <c r="E10" s="32" t="str">
        <f>IF(EXACT('변경(260104_260131)'!E10,'원번표(수정불가)'!E10)=$BS$9,"","변경")</f>
        <v/>
      </c>
      <c r="F10" s="32" t="str">
        <f>IF(EXACT('변경(260104_260131)'!F10,'원번표(수정불가)'!F10)=$BS$9,"","변경")</f>
        <v/>
      </c>
      <c r="G10" s="32" t="str">
        <f>IF(EXACT('변경(260104_260131)'!G10,'원번표(수정불가)'!G10)=$BS$9,"","변경")</f>
        <v/>
      </c>
      <c r="H10" s="32" t="str">
        <f>IF(EXACT('변경(260104_260131)'!H10,'원번표(수정불가)'!H10)=$BS$9,"","변경")</f>
        <v/>
      </c>
      <c r="I10" s="33" t="str">
        <f>IF(EXACT('변경(260104_260131)'!I10,'원번표(수정불가)'!I10)=$BS$9,"","변경")</f>
        <v/>
      </c>
      <c r="J10" s="31" t="str">
        <f>IF(EXACT('변경(260104_260131)'!J10,'원번표(수정불가)'!J10)=$BS$9,"","변경")</f>
        <v/>
      </c>
      <c r="K10" s="32" t="str">
        <f>IF(EXACT('변경(260104_260131)'!K10,'원번표(수정불가)'!K10)=$BS$9,"","변경")</f>
        <v/>
      </c>
      <c r="L10" s="32" t="str">
        <f>IF(EXACT('변경(260104_260131)'!L10,'원번표(수정불가)'!L10)=$BS$9,"","변경")</f>
        <v/>
      </c>
      <c r="M10" s="32" t="str">
        <f>IF(EXACT('변경(260104_260131)'!M10,'원번표(수정불가)'!M10)=$BS$9,"","변경")</f>
        <v/>
      </c>
      <c r="N10" s="32" t="str">
        <f>IF(EXACT('변경(260104_260131)'!N10,'원번표(수정불가)'!N10)=$BS$9,"","변경")</f>
        <v/>
      </c>
      <c r="O10" s="32" t="str">
        <f>IF(EXACT('변경(260104_260131)'!O10,'원번표(수정불가)'!O10)=$BS$9,"","변경")</f>
        <v/>
      </c>
      <c r="P10" s="33" t="str">
        <f>IF(EXACT('변경(260104_260131)'!P10,'원번표(수정불가)'!P10)=$BS$9,"","변경")</f>
        <v/>
      </c>
      <c r="Q10" s="31" t="str">
        <f>IF(EXACT('변경(260104_260131)'!Q10,'원번표(수정불가)'!Q10)=$BS$9,"","변경")</f>
        <v/>
      </c>
      <c r="R10" s="32" t="str">
        <f>IF(EXACT('변경(260104_260131)'!R10,'원번표(수정불가)'!R10)=$BS$9,"","변경")</f>
        <v/>
      </c>
      <c r="S10" s="32" t="str">
        <f>IF(EXACT('변경(260104_260131)'!S10,'원번표(수정불가)'!S10)=$BS$9,"","변경")</f>
        <v/>
      </c>
      <c r="T10" s="32" t="str">
        <f>IF(EXACT('변경(260104_260131)'!T10,'원번표(수정불가)'!T10)=$BS$9,"","변경")</f>
        <v/>
      </c>
      <c r="U10" s="32" t="str">
        <f>IF(EXACT('변경(260104_260131)'!U10,'원번표(수정불가)'!U10)=$BS$9,"","변경")</f>
        <v/>
      </c>
      <c r="V10" s="32" t="str">
        <f>IF(EXACT('변경(260104_260131)'!V10,'원번표(수정불가)'!V10)=$BS$9,"","변경")</f>
        <v/>
      </c>
      <c r="W10" s="33" t="str">
        <f>IF(EXACT('변경(260104_260131)'!W10,'원번표(수정불가)'!W10)=$BS$9,"","변경")</f>
        <v/>
      </c>
      <c r="X10" s="31" t="str">
        <f>IF(EXACT('변경(260104_260131)'!X10,'원번표(수정불가)'!X10)=$BS$9,"","변경")</f>
        <v/>
      </c>
      <c r="Y10" s="32" t="str">
        <f>IF(EXACT('변경(260104_260131)'!Y10,'원번표(수정불가)'!Y10)=$BS$9,"","변경")</f>
        <v/>
      </c>
      <c r="Z10" s="32" t="str">
        <f>IF(EXACT('변경(260104_260131)'!Z10,'원번표(수정불가)'!Z10)=$BS$9,"","변경")</f>
        <v/>
      </c>
      <c r="AA10" s="32" t="str">
        <f>IF(EXACT('변경(260104_260131)'!AA10,'원번표(수정불가)'!AA10)=$BS$9,"","변경")</f>
        <v/>
      </c>
      <c r="AB10" s="32" t="str">
        <f>IF(EXACT('변경(260104_260131)'!AB10,'원번표(수정불가)'!AB10)=$BS$9,"","변경")</f>
        <v/>
      </c>
      <c r="AC10" s="32" t="str">
        <f>IF(EXACT('변경(260104_260131)'!AC10,'원번표(수정불가)'!AC10)=$BS$9,"","변경")</f>
        <v/>
      </c>
      <c r="AD10" s="73" t="str">
        <f>IF(EXACT('변경(260104_260131)'!AD10,'원번표(수정불가)'!AD10)=$BS$9,"","변경")</f>
        <v>변경</v>
      </c>
      <c r="AE10" s="197">
        <f t="shared" si="0"/>
        <v>0</v>
      </c>
      <c r="AF10" s="198">
        <f t="shared" si="19"/>
        <v>0</v>
      </c>
      <c r="AG10" s="104"/>
      <c r="AH10" s="105"/>
      <c r="AI10" s="106"/>
      <c r="AJ10" s="106"/>
      <c r="AK10" s="175">
        <f t="shared" si="1"/>
        <v>0</v>
      </c>
      <c r="AL10" s="38">
        <f t="shared" si="2"/>
        <v>0</v>
      </c>
      <c r="AM10" s="38">
        <f t="shared" si="3"/>
        <v>0</v>
      </c>
      <c r="AN10" s="38">
        <f t="shared" si="3"/>
        <v>0</v>
      </c>
      <c r="AO10" s="38">
        <f t="shared" si="4"/>
        <v>0</v>
      </c>
      <c r="AP10" s="38">
        <f>COUNTIF($Q10:$W10,AP$6)</f>
        <v>0</v>
      </c>
      <c r="AQ10" s="38">
        <f t="shared" si="5"/>
        <v>0</v>
      </c>
      <c r="AR10" s="38">
        <f t="shared" si="5"/>
        <v>0</v>
      </c>
      <c r="AS10" s="40" t="s">
        <v>23</v>
      </c>
      <c r="AT10" s="17">
        <f t="shared" si="6"/>
        <v>0</v>
      </c>
      <c r="AU10" s="17">
        <f t="shared" si="7"/>
        <v>0</v>
      </c>
      <c r="AV10" s="17">
        <f t="shared" si="8"/>
        <v>0</v>
      </c>
      <c r="AW10" s="11">
        <f t="shared" si="9"/>
        <v>0</v>
      </c>
      <c r="AX10" s="11">
        <f t="shared" si="10"/>
        <v>0</v>
      </c>
      <c r="AY10" s="11">
        <f t="shared" si="11"/>
        <v>0</v>
      </c>
      <c r="AZ10" s="11">
        <f t="shared" si="12"/>
        <v>0</v>
      </c>
      <c r="BA10" s="11">
        <f t="shared" si="13"/>
        <v>0</v>
      </c>
      <c r="BB10" s="11">
        <f t="shared" si="14"/>
        <v>0</v>
      </c>
      <c r="BC10" s="11">
        <f t="shared" si="15"/>
        <v>0</v>
      </c>
      <c r="BD10" s="28">
        <f t="shared" si="16"/>
        <v>0</v>
      </c>
      <c r="BE10" s="29">
        <f t="shared" si="17"/>
        <v>0</v>
      </c>
      <c r="BF10" s="11">
        <f t="shared" si="18"/>
        <v>0</v>
      </c>
      <c r="BS10" t="b">
        <f>EXACT(BS7,BS8)</f>
        <v>0</v>
      </c>
    </row>
    <row r="11" spans="1:71">
      <c r="A11" s="244" t="s">
        <v>24</v>
      </c>
      <c r="B11" s="123"/>
      <c r="C11" s="31" t="str">
        <f>IF(EXACT('변경(260104_260131)'!C11,'원번표(수정불가)'!C11)=$BS$9,"","변경")</f>
        <v/>
      </c>
      <c r="D11" s="32" t="str">
        <f>IF(EXACT('변경(260104_260131)'!D11,'원번표(수정불가)'!D11)=$BS$9,"","변경")</f>
        <v/>
      </c>
      <c r="E11" s="32" t="str">
        <f>IF(EXACT('변경(260104_260131)'!E11,'원번표(수정불가)'!E11)=$BS$9,"","변경")</f>
        <v/>
      </c>
      <c r="F11" s="32" t="str">
        <f>IF(EXACT('변경(260104_260131)'!F11,'원번표(수정불가)'!F11)=$BS$9,"","변경")</f>
        <v/>
      </c>
      <c r="G11" s="32" t="str">
        <f>IF(EXACT('변경(260104_260131)'!G11,'원번표(수정불가)'!G11)=$BS$9,"","변경")</f>
        <v/>
      </c>
      <c r="H11" s="32" t="str">
        <f>IF(EXACT('변경(260104_260131)'!H11,'원번표(수정불가)'!H11)=$BS$9,"","변경")</f>
        <v/>
      </c>
      <c r="I11" s="33" t="str">
        <f>IF(EXACT('변경(260104_260131)'!I11,'원번표(수정불가)'!I11)=$BS$9,"","변경")</f>
        <v/>
      </c>
      <c r="J11" s="31" t="str">
        <f>IF(EXACT('변경(260104_260131)'!J11,'원번표(수정불가)'!J11)=$BS$9,"","변경")</f>
        <v/>
      </c>
      <c r="K11" s="32" t="str">
        <f>IF(EXACT('변경(260104_260131)'!K11,'원번표(수정불가)'!K11)=$BS$9,"","변경")</f>
        <v/>
      </c>
      <c r="L11" s="32" t="str">
        <f>IF(EXACT('변경(260104_260131)'!L11,'원번표(수정불가)'!L11)=$BS$9,"","변경")</f>
        <v/>
      </c>
      <c r="M11" s="32" t="str">
        <f>IF(EXACT('변경(260104_260131)'!M11,'원번표(수정불가)'!M11)=$BS$9,"","변경")</f>
        <v/>
      </c>
      <c r="N11" s="32" t="str">
        <f>IF(EXACT('변경(260104_260131)'!N11,'원번표(수정불가)'!N11)=$BS$9,"","변경")</f>
        <v/>
      </c>
      <c r="O11" s="32" t="str">
        <f>IF(EXACT('변경(260104_260131)'!O11,'원번표(수정불가)'!O11)=$BS$9,"","변경")</f>
        <v/>
      </c>
      <c r="P11" s="33" t="str">
        <f>IF(EXACT('변경(260104_260131)'!P11,'원번표(수정불가)'!P11)=$BS$9,"","변경")</f>
        <v/>
      </c>
      <c r="Q11" s="31" t="str">
        <f>IF(EXACT('변경(260104_260131)'!Q11,'원번표(수정불가)'!Q11)=$BS$9,"","변경")</f>
        <v/>
      </c>
      <c r="R11" s="32" t="str">
        <f>IF(EXACT('변경(260104_260131)'!R11,'원번표(수정불가)'!R11)=$BS$9,"","변경")</f>
        <v/>
      </c>
      <c r="S11" s="32" t="str">
        <f>IF(EXACT('변경(260104_260131)'!S11,'원번표(수정불가)'!S11)=$BS$9,"","변경")</f>
        <v/>
      </c>
      <c r="T11" s="32" t="str">
        <f>IF(EXACT('변경(260104_260131)'!T11,'원번표(수정불가)'!T11)=$BS$9,"","변경")</f>
        <v/>
      </c>
      <c r="U11" s="32" t="str">
        <f>IF(EXACT('변경(260104_260131)'!U11,'원번표(수정불가)'!U11)=$BS$9,"","변경")</f>
        <v/>
      </c>
      <c r="V11" s="32" t="str">
        <f>IF(EXACT('변경(260104_260131)'!V11,'원번표(수정불가)'!V11)=$BS$9,"","변경")</f>
        <v/>
      </c>
      <c r="W11" s="33" t="str">
        <f>IF(EXACT('변경(260104_260131)'!W11,'원번표(수정불가)'!W11)=$BS$9,"","변경")</f>
        <v/>
      </c>
      <c r="X11" s="31" t="str">
        <f>IF(EXACT('변경(260104_260131)'!X11,'원번표(수정불가)'!X11)=$BS$9,"","변경")</f>
        <v/>
      </c>
      <c r="Y11" s="32" t="str">
        <f>IF(EXACT('변경(260104_260131)'!Y11,'원번표(수정불가)'!Y11)=$BS$9,"","변경")</f>
        <v/>
      </c>
      <c r="Z11" s="32" t="str">
        <f>IF(EXACT('변경(260104_260131)'!Z11,'원번표(수정불가)'!Z11)=$BS$9,"","변경")</f>
        <v/>
      </c>
      <c r="AA11" s="32" t="str">
        <f>IF(EXACT('변경(260104_260131)'!AA11,'원번표(수정불가)'!AA11)=$BS$9,"","변경")</f>
        <v/>
      </c>
      <c r="AB11" s="32" t="str">
        <f>IF(EXACT('변경(260104_260131)'!AB11,'원번표(수정불가)'!AB11)=$BS$9,"","변경")</f>
        <v/>
      </c>
      <c r="AC11" s="32" t="str">
        <f>IF(EXACT('변경(260104_260131)'!AC11,'원번표(수정불가)'!AC11)=$BS$9,"","변경")</f>
        <v/>
      </c>
      <c r="AD11" s="73" t="str">
        <f>IF(EXACT('변경(260104_260131)'!AD11,'원번표(수정불가)'!AD11)=$BS$9,"","변경")</f>
        <v/>
      </c>
      <c r="AE11" s="197">
        <f t="shared" si="0"/>
        <v>0</v>
      </c>
      <c r="AF11" s="198">
        <f t="shared" si="19"/>
        <v>0</v>
      </c>
      <c r="AG11" s="104"/>
      <c r="AH11" s="105"/>
      <c r="AI11" s="106"/>
      <c r="AJ11" s="106"/>
      <c r="AK11" s="175">
        <f t="shared" si="1"/>
        <v>0</v>
      </c>
      <c r="AL11" s="38">
        <f t="shared" si="2"/>
        <v>0</v>
      </c>
      <c r="AM11" s="38">
        <f t="shared" si="3"/>
        <v>0</v>
      </c>
      <c r="AN11" s="43">
        <f t="shared" si="3"/>
        <v>0</v>
      </c>
      <c r="AO11" s="38">
        <f t="shared" si="4"/>
        <v>0</v>
      </c>
      <c r="AP11" s="38">
        <f t="shared" si="4"/>
        <v>0</v>
      </c>
      <c r="AQ11" s="38">
        <f t="shared" si="5"/>
        <v>0</v>
      </c>
      <c r="AR11" s="38">
        <f t="shared" si="5"/>
        <v>0</v>
      </c>
      <c r="AS11" s="244" t="s">
        <v>24</v>
      </c>
      <c r="AT11" s="17">
        <f t="shared" si="6"/>
        <v>0</v>
      </c>
      <c r="AU11" s="17">
        <f t="shared" si="7"/>
        <v>0</v>
      </c>
      <c r="AV11" s="17">
        <f t="shared" si="8"/>
        <v>0</v>
      </c>
      <c r="AW11" s="11">
        <f t="shared" si="9"/>
        <v>0</v>
      </c>
      <c r="AX11" s="11">
        <f t="shared" si="10"/>
        <v>0</v>
      </c>
      <c r="AY11" s="11">
        <f t="shared" si="11"/>
        <v>0</v>
      </c>
      <c r="AZ11" s="11">
        <f t="shared" si="12"/>
        <v>0</v>
      </c>
      <c r="BA11" s="11">
        <f t="shared" si="13"/>
        <v>0</v>
      </c>
      <c r="BB11" s="11">
        <f t="shared" si="14"/>
        <v>0</v>
      </c>
      <c r="BC11" s="11">
        <f t="shared" si="15"/>
        <v>0</v>
      </c>
      <c r="BD11" s="28">
        <f t="shared" si="16"/>
        <v>0</v>
      </c>
      <c r="BE11" s="29">
        <f t="shared" si="17"/>
        <v>0</v>
      </c>
      <c r="BF11" s="11">
        <f t="shared" si="18"/>
        <v>0</v>
      </c>
    </row>
    <row r="12" spans="1:71">
      <c r="A12" s="244" t="s">
        <v>26</v>
      </c>
      <c r="B12" s="121"/>
      <c r="C12" s="31" t="str">
        <f>IF(EXACT('변경(260104_260131)'!C12,'원번표(수정불가)'!C12)=$BS$9,"","변경")</f>
        <v/>
      </c>
      <c r="D12" s="32" t="str">
        <f>IF(EXACT('변경(260104_260131)'!D12,'원번표(수정불가)'!D12)=$BS$9,"","변경")</f>
        <v/>
      </c>
      <c r="E12" s="32" t="str">
        <f>IF(EXACT('변경(260104_260131)'!E12,'원번표(수정불가)'!E12)=$BS$9,"","변경")</f>
        <v/>
      </c>
      <c r="F12" s="32" t="str">
        <f>IF(EXACT('변경(260104_260131)'!F12,'원번표(수정불가)'!F12)=$BS$9,"","변경")</f>
        <v/>
      </c>
      <c r="G12" s="32" t="str">
        <f>IF(EXACT('변경(260104_260131)'!G12,'원번표(수정불가)'!G12)=$BS$9,"","변경")</f>
        <v/>
      </c>
      <c r="H12" s="32" t="str">
        <f>IF(EXACT('변경(260104_260131)'!H12,'원번표(수정불가)'!H12)=$BS$9,"","변경")</f>
        <v/>
      </c>
      <c r="I12" s="33" t="str">
        <f>IF(EXACT('변경(260104_260131)'!I12,'원번표(수정불가)'!I12)=$BS$9,"","변경")</f>
        <v/>
      </c>
      <c r="J12" s="31" t="str">
        <f>IF(EXACT('변경(260104_260131)'!J12,'원번표(수정불가)'!J12)=$BS$9,"","변경")</f>
        <v/>
      </c>
      <c r="K12" s="32" t="str">
        <f>IF(EXACT('변경(260104_260131)'!K12,'원번표(수정불가)'!K12)=$BS$9,"","변경")</f>
        <v/>
      </c>
      <c r="L12" s="32" t="str">
        <f>IF(EXACT('변경(260104_260131)'!L12,'원번표(수정불가)'!L12)=$BS$9,"","변경")</f>
        <v/>
      </c>
      <c r="M12" s="32" t="str">
        <f>IF(EXACT('변경(260104_260131)'!M12,'원번표(수정불가)'!M12)=$BS$9,"","변경")</f>
        <v/>
      </c>
      <c r="N12" s="32" t="str">
        <f>IF(EXACT('변경(260104_260131)'!N12,'원번표(수정불가)'!N12)=$BS$9,"","변경")</f>
        <v/>
      </c>
      <c r="O12" s="32" t="str">
        <f>IF(EXACT('변경(260104_260131)'!O12,'원번표(수정불가)'!O12)=$BS$9,"","변경")</f>
        <v/>
      </c>
      <c r="P12" s="33" t="str">
        <f>IF(EXACT('변경(260104_260131)'!P12,'원번표(수정불가)'!P12)=$BS$9,"","변경")</f>
        <v/>
      </c>
      <c r="Q12" s="31" t="str">
        <f>IF(EXACT('변경(260104_260131)'!Q12,'원번표(수정불가)'!Q12)=$BS$9,"","변경")</f>
        <v/>
      </c>
      <c r="R12" s="32" t="str">
        <f>IF(EXACT('변경(260104_260131)'!R12,'원번표(수정불가)'!R12)=$BS$9,"","변경")</f>
        <v/>
      </c>
      <c r="S12" s="32" t="str">
        <f>IF(EXACT('변경(260104_260131)'!S12,'원번표(수정불가)'!S12)=$BS$9,"","변경")</f>
        <v/>
      </c>
      <c r="T12" s="32" t="str">
        <f>IF(EXACT('변경(260104_260131)'!T12,'원번표(수정불가)'!T12)=$BS$9,"","변경")</f>
        <v/>
      </c>
      <c r="U12" s="32" t="str">
        <f>IF(EXACT('변경(260104_260131)'!U12,'원번표(수정불가)'!U12)=$BS$9,"","변경")</f>
        <v/>
      </c>
      <c r="V12" s="32" t="str">
        <f>IF(EXACT('변경(260104_260131)'!V12,'원번표(수정불가)'!V12)=$BS$9,"","변경")</f>
        <v/>
      </c>
      <c r="W12" s="33" t="str">
        <f>IF(EXACT('변경(260104_260131)'!W12,'원번표(수정불가)'!W12)=$BS$9,"","변경")</f>
        <v/>
      </c>
      <c r="X12" s="31" t="str">
        <f>IF(EXACT('변경(260104_260131)'!X12,'원번표(수정불가)'!X12)=$BS$9,"","변경")</f>
        <v/>
      </c>
      <c r="Y12" s="32" t="str">
        <f>IF(EXACT('변경(260104_260131)'!Y12,'원번표(수정불가)'!Y12)=$BS$9,"","변경")</f>
        <v/>
      </c>
      <c r="Z12" s="32" t="str">
        <f>IF(EXACT('변경(260104_260131)'!Z12,'원번표(수정불가)'!Z12)=$BS$9,"","변경")</f>
        <v/>
      </c>
      <c r="AA12" s="32" t="str">
        <f>IF(EXACT('변경(260104_260131)'!AA12,'원번표(수정불가)'!AA12)=$BS$9,"","변경")</f>
        <v/>
      </c>
      <c r="AB12" s="32" t="str">
        <f>IF(EXACT('변경(260104_260131)'!AB12,'원번표(수정불가)'!AB12)=$BS$9,"","변경")</f>
        <v/>
      </c>
      <c r="AC12" s="32" t="str">
        <f>IF(EXACT('변경(260104_260131)'!AC12,'원번표(수정불가)'!AC12)=$BS$9,"","변경")</f>
        <v/>
      </c>
      <c r="AD12" s="73" t="str">
        <f>IF(EXACT('변경(260104_260131)'!AD12,'원번표(수정불가)'!AD12)=$BS$9,"","변경")</f>
        <v/>
      </c>
      <c r="AE12" s="197">
        <f t="shared" si="0"/>
        <v>0</v>
      </c>
      <c r="AF12" s="198">
        <f t="shared" si="19"/>
        <v>0</v>
      </c>
      <c r="AG12" s="104"/>
      <c r="AH12" s="105"/>
      <c r="AI12" s="106"/>
      <c r="AJ12" s="106"/>
      <c r="AK12" s="175">
        <f t="shared" si="1"/>
        <v>0</v>
      </c>
      <c r="AL12" s="38">
        <f t="shared" si="2"/>
        <v>0</v>
      </c>
      <c r="AM12" s="38">
        <f t="shared" si="3"/>
        <v>0</v>
      </c>
      <c r="AN12" s="38">
        <f t="shared" si="3"/>
        <v>0</v>
      </c>
      <c r="AO12" s="38">
        <f t="shared" si="4"/>
        <v>0</v>
      </c>
      <c r="AP12" s="38">
        <f t="shared" si="4"/>
        <v>0</v>
      </c>
      <c r="AQ12" s="38">
        <f t="shared" si="5"/>
        <v>0</v>
      </c>
      <c r="AR12" s="38">
        <f t="shared" si="5"/>
        <v>0</v>
      </c>
      <c r="AS12" s="244" t="s">
        <v>26</v>
      </c>
      <c r="AT12" s="17">
        <f t="shared" si="6"/>
        <v>0</v>
      </c>
      <c r="AU12" s="17">
        <f t="shared" si="7"/>
        <v>0</v>
      </c>
      <c r="AV12" s="17">
        <f t="shared" si="8"/>
        <v>0</v>
      </c>
      <c r="AW12" s="11">
        <f t="shared" si="9"/>
        <v>0</v>
      </c>
      <c r="AX12" s="11">
        <f t="shared" si="10"/>
        <v>0</v>
      </c>
      <c r="AY12" s="11">
        <f t="shared" si="11"/>
        <v>0</v>
      </c>
      <c r="AZ12" s="11">
        <f t="shared" si="12"/>
        <v>0</v>
      </c>
      <c r="BA12" s="11">
        <f t="shared" si="13"/>
        <v>0</v>
      </c>
      <c r="BB12" s="11">
        <f t="shared" si="14"/>
        <v>0</v>
      </c>
      <c r="BC12" s="11">
        <f t="shared" si="15"/>
        <v>0</v>
      </c>
      <c r="BD12" s="28">
        <f t="shared" si="16"/>
        <v>0</v>
      </c>
      <c r="BE12" s="29">
        <f t="shared" si="17"/>
        <v>0</v>
      </c>
      <c r="BF12" s="11">
        <f t="shared" si="18"/>
        <v>0</v>
      </c>
    </row>
    <row r="13" spans="1:71">
      <c r="A13" s="40" t="s">
        <v>27</v>
      </c>
      <c r="B13" s="124"/>
      <c r="C13" s="31" t="str">
        <f>IF(EXACT('변경(260104_260131)'!C13,'원번표(수정불가)'!C13)=$BS$9,"","변경")</f>
        <v/>
      </c>
      <c r="D13" s="32" t="str">
        <f>IF(EXACT('변경(260104_260131)'!D13,'원번표(수정불가)'!D13)=$BS$9,"","변경")</f>
        <v/>
      </c>
      <c r="E13" s="32" t="str">
        <f>IF(EXACT('변경(260104_260131)'!E13,'원번표(수정불가)'!E13)=$BS$9,"","변경")</f>
        <v/>
      </c>
      <c r="F13" s="32" t="str">
        <f>IF(EXACT('변경(260104_260131)'!F13,'원번표(수정불가)'!F13)=$BS$9,"","변경")</f>
        <v/>
      </c>
      <c r="G13" s="32" t="str">
        <f>IF(EXACT('변경(260104_260131)'!G13,'원번표(수정불가)'!G13)=$BS$9,"","변경")</f>
        <v/>
      </c>
      <c r="H13" s="32" t="str">
        <f>IF(EXACT('변경(260104_260131)'!H13,'원번표(수정불가)'!H13)=$BS$9,"","변경")</f>
        <v/>
      </c>
      <c r="I13" s="33" t="str">
        <f>IF(EXACT('변경(260104_260131)'!I13,'원번표(수정불가)'!I13)=$BS$9,"","변경")</f>
        <v/>
      </c>
      <c r="J13" s="31" t="str">
        <f>IF(EXACT('변경(260104_260131)'!J13,'원번표(수정불가)'!J13)=$BS$9,"","변경")</f>
        <v/>
      </c>
      <c r="K13" s="32" t="str">
        <f>IF(EXACT('변경(260104_260131)'!K13,'원번표(수정불가)'!K13)=$BS$9,"","변경")</f>
        <v/>
      </c>
      <c r="L13" s="32" t="str">
        <f>IF(EXACT('변경(260104_260131)'!L13,'원번표(수정불가)'!L13)=$BS$9,"","변경")</f>
        <v/>
      </c>
      <c r="M13" s="32" t="str">
        <f>IF(EXACT('변경(260104_260131)'!M13,'원번표(수정불가)'!M13)=$BS$9,"","변경")</f>
        <v/>
      </c>
      <c r="N13" s="32" t="str">
        <f>IF(EXACT('변경(260104_260131)'!N13,'원번표(수정불가)'!N13)=$BS$9,"","변경")</f>
        <v/>
      </c>
      <c r="O13" s="32" t="str">
        <f>IF(EXACT('변경(260104_260131)'!O13,'원번표(수정불가)'!O13)=$BS$9,"","변경")</f>
        <v/>
      </c>
      <c r="P13" s="33" t="str">
        <f>IF(EXACT('변경(260104_260131)'!P13,'원번표(수정불가)'!P13)=$BS$9,"","변경")</f>
        <v/>
      </c>
      <c r="Q13" s="31" t="str">
        <f>IF(EXACT('변경(260104_260131)'!Q13,'원번표(수정불가)'!Q13)=$BS$9,"","변경")</f>
        <v/>
      </c>
      <c r="R13" s="32" t="str">
        <f>IF(EXACT('변경(260104_260131)'!R13,'원번표(수정불가)'!R13)=$BS$9,"","변경")</f>
        <v/>
      </c>
      <c r="S13" s="32" t="str">
        <f>IF(EXACT('변경(260104_260131)'!S13,'원번표(수정불가)'!S13)=$BS$9,"","변경")</f>
        <v/>
      </c>
      <c r="T13" s="32" t="str">
        <f>IF(EXACT('변경(260104_260131)'!T13,'원번표(수정불가)'!T13)=$BS$9,"","변경")</f>
        <v/>
      </c>
      <c r="U13" s="32" t="str">
        <f>IF(EXACT('변경(260104_260131)'!U13,'원번표(수정불가)'!U13)=$BS$9,"","변경")</f>
        <v/>
      </c>
      <c r="V13" s="32" t="str">
        <f>IF(EXACT('변경(260104_260131)'!V13,'원번표(수정불가)'!V13)=$BS$9,"","변경")</f>
        <v/>
      </c>
      <c r="W13" s="33" t="str">
        <f>IF(EXACT('변경(260104_260131)'!W13,'원번표(수정불가)'!W13)=$BS$9,"","변경")</f>
        <v/>
      </c>
      <c r="X13" s="31" t="str">
        <f>IF(EXACT('변경(260104_260131)'!X13,'원번표(수정불가)'!X13)=$BS$9,"","변경")</f>
        <v/>
      </c>
      <c r="Y13" s="32" t="str">
        <f>IF(EXACT('변경(260104_260131)'!Y13,'원번표(수정불가)'!Y13)=$BS$9,"","변경")</f>
        <v/>
      </c>
      <c r="Z13" s="32" t="str">
        <f>IF(EXACT('변경(260104_260131)'!Z13,'원번표(수정불가)'!Z13)=$BS$9,"","변경")</f>
        <v/>
      </c>
      <c r="AA13" s="32" t="str">
        <f>IF(EXACT('변경(260104_260131)'!AA13,'원번표(수정불가)'!AA13)=$BS$9,"","변경")</f>
        <v/>
      </c>
      <c r="AB13" s="32" t="str">
        <f>IF(EXACT('변경(260104_260131)'!AB13,'원번표(수정불가)'!AB13)=$BS$9,"","변경")</f>
        <v/>
      </c>
      <c r="AC13" s="32" t="str">
        <f>IF(EXACT('변경(260104_260131)'!AC13,'원번표(수정불가)'!AC13)=$BS$9,"","변경")</f>
        <v/>
      </c>
      <c r="AD13" s="73" t="str">
        <f>IF(EXACT('변경(260104_260131)'!AD13,'원번표(수정불가)'!AD13)=$BS$9,"","변경")</f>
        <v/>
      </c>
      <c r="AE13" s="197">
        <f t="shared" si="0"/>
        <v>0</v>
      </c>
      <c r="AF13" s="198">
        <f t="shared" si="19"/>
        <v>0</v>
      </c>
      <c r="AG13" s="104"/>
      <c r="AH13" s="105"/>
      <c r="AI13" s="106"/>
      <c r="AJ13" s="106"/>
      <c r="AK13" s="175">
        <f t="shared" si="1"/>
        <v>0</v>
      </c>
      <c r="AL13" s="38">
        <f t="shared" si="2"/>
        <v>0</v>
      </c>
      <c r="AM13" s="38">
        <f t="shared" si="3"/>
        <v>0</v>
      </c>
      <c r="AN13" s="38">
        <f t="shared" si="3"/>
        <v>0</v>
      </c>
      <c r="AO13" s="38">
        <f t="shared" si="4"/>
        <v>0</v>
      </c>
      <c r="AP13" s="38">
        <f t="shared" si="4"/>
        <v>0</v>
      </c>
      <c r="AQ13" s="38">
        <f t="shared" si="5"/>
        <v>0</v>
      </c>
      <c r="AR13" s="38">
        <f t="shared" si="5"/>
        <v>0</v>
      </c>
      <c r="AS13" s="40" t="s">
        <v>27</v>
      </c>
      <c r="AT13" s="17">
        <f t="shared" si="6"/>
        <v>0</v>
      </c>
      <c r="AU13" s="17">
        <f t="shared" si="7"/>
        <v>0</v>
      </c>
      <c r="AV13" s="17">
        <f t="shared" si="8"/>
        <v>0</v>
      </c>
      <c r="AW13" s="11">
        <f t="shared" si="9"/>
        <v>0</v>
      </c>
      <c r="AX13" s="11">
        <f t="shared" si="10"/>
        <v>0</v>
      </c>
      <c r="AY13" s="11">
        <f t="shared" si="11"/>
        <v>0</v>
      </c>
      <c r="AZ13" s="11">
        <f t="shared" si="12"/>
        <v>0</v>
      </c>
      <c r="BA13" s="11">
        <f t="shared" si="13"/>
        <v>0</v>
      </c>
      <c r="BB13" s="11">
        <f t="shared" si="14"/>
        <v>0</v>
      </c>
      <c r="BC13" s="11">
        <f t="shared" si="15"/>
        <v>0</v>
      </c>
      <c r="BD13" s="28">
        <f t="shared" si="16"/>
        <v>0</v>
      </c>
      <c r="BE13" s="29">
        <f t="shared" si="17"/>
        <v>0</v>
      </c>
      <c r="BF13" s="11">
        <f t="shared" si="18"/>
        <v>0</v>
      </c>
    </row>
    <row r="14" spans="1:71">
      <c r="A14" s="143" t="s">
        <v>28</v>
      </c>
      <c r="B14" s="124"/>
      <c r="C14" s="31" t="str">
        <f>IF(EXACT('변경(260104_260131)'!C14,'원번표(수정불가)'!C14)=$BS$9,"","변경")</f>
        <v/>
      </c>
      <c r="D14" s="32" t="str">
        <f>IF(EXACT('변경(260104_260131)'!D14,'원번표(수정불가)'!D14)=$BS$9,"","변경")</f>
        <v/>
      </c>
      <c r="E14" s="32" t="str">
        <f>IF(EXACT('변경(260104_260131)'!E14,'원번표(수정불가)'!E14)=$BS$9,"","변경")</f>
        <v/>
      </c>
      <c r="F14" s="32" t="str">
        <f>IF(EXACT('변경(260104_260131)'!F14,'원번표(수정불가)'!F14)=$BS$9,"","변경")</f>
        <v/>
      </c>
      <c r="G14" s="32" t="str">
        <f>IF(EXACT('변경(260104_260131)'!G14,'원번표(수정불가)'!G14)=$BS$9,"","변경")</f>
        <v/>
      </c>
      <c r="H14" s="32" t="str">
        <f>IF(EXACT('변경(260104_260131)'!H14,'원번표(수정불가)'!H14)=$BS$9,"","변경")</f>
        <v/>
      </c>
      <c r="I14" s="33" t="str">
        <f>IF(EXACT('변경(260104_260131)'!I14,'원번표(수정불가)'!I14)=$BS$9,"","변경")</f>
        <v/>
      </c>
      <c r="J14" s="31" t="str">
        <f>IF(EXACT('변경(260104_260131)'!J14,'원번표(수정불가)'!J14)=$BS$9,"","변경")</f>
        <v/>
      </c>
      <c r="K14" s="32" t="str">
        <f>IF(EXACT('변경(260104_260131)'!K14,'원번표(수정불가)'!K14)=$BS$9,"","변경")</f>
        <v/>
      </c>
      <c r="L14" s="32" t="str">
        <f>IF(EXACT('변경(260104_260131)'!L14,'원번표(수정불가)'!L14)=$BS$9,"","변경")</f>
        <v/>
      </c>
      <c r="M14" s="32" t="str">
        <f>IF(EXACT('변경(260104_260131)'!M14,'원번표(수정불가)'!M14)=$BS$9,"","변경")</f>
        <v/>
      </c>
      <c r="N14" s="32" t="str">
        <f>IF(EXACT('변경(260104_260131)'!N14,'원번표(수정불가)'!N14)=$BS$9,"","변경")</f>
        <v/>
      </c>
      <c r="O14" s="32" t="str">
        <f>IF(EXACT('변경(260104_260131)'!O14,'원번표(수정불가)'!O14)=$BS$9,"","변경")</f>
        <v/>
      </c>
      <c r="P14" s="33" t="str">
        <f>IF(EXACT('변경(260104_260131)'!P14,'원번표(수정불가)'!P14)=$BS$9,"","변경")</f>
        <v/>
      </c>
      <c r="Q14" s="31" t="str">
        <f>IF(EXACT('변경(260104_260131)'!Q14,'원번표(수정불가)'!Q14)=$BS$9,"","변경")</f>
        <v/>
      </c>
      <c r="R14" s="32" t="str">
        <f>IF(EXACT('변경(260104_260131)'!R14,'원번표(수정불가)'!R14)=$BS$9,"","변경")</f>
        <v/>
      </c>
      <c r="S14" s="32" t="str">
        <f>IF(EXACT('변경(260104_260131)'!S14,'원번표(수정불가)'!S14)=$BS$9,"","변경")</f>
        <v/>
      </c>
      <c r="T14" s="32" t="str">
        <f>IF(EXACT('변경(260104_260131)'!T14,'원번표(수정불가)'!T14)=$BS$9,"","변경")</f>
        <v/>
      </c>
      <c r="U14" s="32" t="str">
        <f>IF(EXACT('변경(260104_260131)'!U14,'원번표(수정불가)'!U14)=$BS$9,"","변경")</f>
        <v/>
      </c>
      <c r="V14" s="32" t="str">
        <f>IF(EXACT('변경(260104_260131)'!V14,'원번표(수정불가)'!V14)=$BS$9,"","변경")</f>
        <v/>
      </c>
      <c r="W14" s="33" t="str">
        <f>IF(EXACT('변경(260104_260131)'!W14,'원번표(수정불가)'!W14)=$BS$9,"","변경")</f>
        <v/>
      </c>
      <c r="X14" s="31" t="str">
        <f>IF(EXACT('변경(260104_260131)'!X14,'원번표(수정불가)'!X14)=$BS$9,"","변경")</f>
        <v/>
      </c>
      <c r="Y14" s="32" t="str">
        <f>IF(EXACT('변경(260104_260131)'!Y14,'원번표(수정불가)'!Y14)=$BS$9,"","변경")</f>
        <v/>
      </c>
      <c r="Z14" s="32" t="str">
        <f>IF(EXACT('변경(260104_260131)'!Z14,'원번표(수정불가)'!Z14)=$BS$9,"","변경")</f>
        <v/>
      </c>
      <c r="AA14" s="32" t="str">
        <f>IF(EXACT('변경(260104_260131)'!AA14,'원번표(수정불가)'!AA14)=$BS$9,"","변경")</f>
        <v/>
      </c>
      <c r="AB14" s="32" t="str">
        <f>IF(EXACT('변경(260104_260131)'!AB14,'원번표(수정불가)'!AB14)=$BS$9,"","변경")</f>
        <v/>
      </c>
      <c r="AC14" s="32" t="str">
        <f>IF(EXACT('변경(260104_260131)'!AC14,'원번표(수정불가)'!AC14)=$BS$9,"","변경")</f>
        <v/>
      </c>
      <c r="AD14" s="73" t="str">
        <f>IF(EXACT('변경(260104_260131)'!AD14,'원번표(수정불가)'!AD14)=$BS$9,"","변경")</f>
        <v/>
      </c>
      <c r="AE14" s="197">
        <f t="shared" si="0"/>
        <v>0</v>
      </c>
      <c r="AF14" s="198">
        <f t="shared" si="19"/>
        <v>0</v>
      </c>
      <c r="AG14" s="104"/>
      <c r="AH14" s="105"/>
      <c r="AI14" s="106"/>
      <c r="AJ14" s="106"/>
      <c r="AK14" s="175">
        <f t="shared" si="1"/>
        <v>0</v>
      </c>
      <c r="AL14" s="38">
        <f t="shared" si="2"/>
        <v>0</v>
      </c>
      <c r="AM14" s="38">
        <f t="shared" si="3"/>
        <v>0</v>
      </c>
      <c r="AN14" s="38">
        <f t="shared" si="3"/>
        <v>0</v>
      </c>
      <c r="AO14" s="38">
        <f t="shared" si="4"/>
        <v>0</v>
      </c>
      <c r="AP14" s="38">
        <f t="shared" si="4"/>
        <v>0</v>
      </c>
      <c r="AQ14" s="38">
        <f t="shared" si="5"/>
        <v>0</v>
      </c>
      <c r="AR14" s="38">
        <f t="shared" si="5"/>
        <v>0</v>
      </c>
      <c r="AS14" s="143" t="s">
        <v>28</v>
      </c>
      <c r="AT14" s="17">
        <f t="shared" si="6"/>
        <v>0</v>
      </c>
      <c r="AU14" s="17">
        <f t="shared" si="7"/>
        <v>0</v>
      </c>
      <c r="AV14" s="17">
        <f t="shared" si="8"/>
        <v>0</v>
      </c>
      <c r="AW14" s="11">
        <f t="shared" si="9"/>
        <v>0</v>
      </c>
      <c r="AX14" s="11">
        <f t="shared" si="10"/>
        <v>0</v>
      </c>
      <c r="AY14" s="11">
        <f t="shared" si="11"/>
        <v>0</v>
      </c>
      <c r="AZ14" s="11">
        <f t="shared" si="12"/>
        <v>0</v>
      </c>
      <c r="BA14" s="11">
        <f t="shared" si="13"/>
        <v>0</v>
      </c>
      <c r="BB14" s="11">
        <f t="shared" si="14"/>
        <v>0</v>
      </c>
      <c r="BC14" s="11">
        <f t="shared" si="15"/>
        <v>0</v>
      </c>
      <c r="BD14" s="28">
        <f t="shared" si="16"/>
        <v>0</v>
      </c>
      <c r="BE14" s="29">
        <f t="shared" si="17"/>
        <v>0</v>
      </c>
      <c r="BF14" s="11">
        <f t="shared" si="18"/>
        <v>0</v>
      </c>
    </row>
    <row r="15" spans="1:71" ht="17.25" thickBot="1">
      <c r="A15" s="169" t="s">
        <v>29</v>
      </c>
      <c r="B15" s="193"/>
      <c r="C15" s="49" t="str">
        <f>IF(EXACT('변경(260104_260131)'!C15,'원번표(수정불가)'!C15)=$BS$9,"","변경")</f>
        <v/>
      </c>
      <c r="D15" s="48" t="str">
        <f>IF(EXACT('변경(260104_260131)'!D15,'원번표(수정불가)'!D15)=$BS$9,"","변경")</f>
        <v/>
      </c>
      <c r="E15" s="48" t="str">
        <f>IF(EXACT('변경(260104_260131)'!E15,'원번표(수정불가)'!E15)=$BS$9,"","변경")</f>
        <v/>
      </c>
      <c r="F15" s="48" t="str">
        <f>IF(EXACT('변경(260104_260131)'!F15,'원번표(수정불가)'!F15)=$BS$9,"","변경")</f>
        <v/>
      </c>
      <c r="G15" s="48" t="str">
        <f>IF(EXACT('변경(260104_260131)'!G15,'원번표(수정불가)'!G15)=$BS$9,"","변경")</f>
        <v/>
      </c>
      <c r="H15" s="48" t="str">
        <f>IF(EXACT('변경(260104_260131)'!H15,'원번표(수정불가)'!H15)=$BS$9,"","변경")</f>
        <v/>
      </c>
      <c r="I15" s="50" t="str">
        <f>IF(EXACT('변경(260104_260131)'!I15,'원번표(수정불가)'!I15)=$BS$9,"","변경")</f>
        <v/>
      </c>
      <c r="J15" s="49" t="str">
        <f>IF(EXACT('변경(260104_260131)'!J15,'원번표(수정불가)'!J15)=$BS$9,"","변경")</f>
        <v/>
      </c>
      <c r="K15" s="48" t="str">
        <f>IF(EXACT('변경(260104_260131)'!K15,'원번표(수정불가)'!K15)=$BS$9,"","변경")</f>
        <v/>
      </c>
      <c r="L15" s="48" t="str">
        <f>IF(EXACT('변경(260104_260131)'!L15,'원번표(수정불가)'!L15)=$BS$9,"","변경")</f>
        <v/>
      </c>
      <c r="M15" s="48" t="str">
        <f>IF(EXACT('변경(260104_260131)'!M15,'원번표(수정불가)'!M15)=$BS$9,"","변경")</f>
        <v/>
      </c>
      <c r="N15" s="48" t="str">
        <f>IF(EXACT('변경(260104_260131)'!N15,'원번표(수정불가)'!N15)=$BS$9,"","변경")</f>
        <v/>
      </c>
      <c r="O15" s="48" t="str">
        <f>IF(EXACT('변경(260104_260131)'!O15,'원번표(수정불가)'!O15)=$BS$9,"","변경")</f>
        <v/>
      </c>
      <c r="P15" s="50" t="str">
        <f>IF(EXACT('변경(260104_260131)'!P15,'원번표(수정불가)'!P15)=$BS$9,"","변경")</f>
        <v/>
      </c>
      <c r="Q15" s="49" t="str">
        <f>IF(EXACT('변경(260104_260131)'!Q15,'원번표(수정불가)'!Q15)=$BS$9,"","변경")</f>
        <v/>
      </c>
      <c r="R15" s="48" t="str">
        <f>IF(EXACT('변경(260104_260131)'!R15,'원번표(수정불가)'!R15)=$BS$9,"","변경")</f>
        <v/>
      </c>
      <c r="S15" s="48" t="str">
        <f>IF(EXACT('변경(260104_260131)'!S15,'원번표(수정불가)'!S15)=$BS$9,"","변경")</f>
        <v/>
      </c>
      <c r="T15" s="48" t="str">
        <f>IF(EXACT('변경(260104_260131)'!T15,'원번표(수정불가)'!T15)=$BS$9,"","변경")</f>
        <v/>
      </c>
      <c r="U15" s="48" t="str">
        <f>IF(EXACT('변경(260104_260131)'!U15,'원번표(수정불가)'!U15)=$BS$9,"","변경")</f>
        <v/>
      </c>
      <c r="V15" s="48" t="str">
        <f>IF(EXACT('변경(260104_260131)'!V15,'원번표(수정불가)'!V15)=$BS$9,"","변경")</f>
        <v/>
      </c>
      <c r="W15" s="50" t="str">
        <f>IF(EXACT('변경(260104_260131)'!W15,'원번표(수정불가)'!W15)=$BS$9,"","변경")</f>
        <v/>
      </c>
      <c r="X15" s="49" t="str">
        <f>IF(EXACT('변경(260104_260131)'!X15,'원번표(수정불가)'!X15)=$BS$9,"","변경")</f>
        <v/>
      </c>
      <c r="Y15" s="48" t="str">
        <f>IF(EXACT('변경(260104_260131)'!Y15,'원번표(수정불가)'!Y15)=$BS$9,"","변경")</f>
        <v/>
      </c>
      <c r="Z15" s="48" t="str">
        <f>IF(EXACT('변경(260104_260131)'!Z15,'원번표(수정불가)'!Z15)=$BS$9,"","변경")</f>
        <v/>
      </c>
      <c r="AA15" s="48" t="str">
        <f>IF(EXACT('변경(260104_260131)'!AA15,'원번표(수정불가)'!AA15)=$BS$9,"","변경")</f>
        <v/>
      </c>
      <c r="AB15" s="48" t="str">
        <f>IF(EXACT('변경(260104_260131)'!AB15,'원번표(수정불가)'!AB15)=$BS$9,"","변경")</f>
        <v/>
      </c>
      <c r="AC15" s="48" t="str">
        <f>IF(EXACT('변경(260104_260131)'!AC15,'원번표(수정불가)'!AC15)=$BS$9,"","변경")</f>
        <v/>
      </c>
      <c r="AD15" s="136" t="str">
        <f>IF(EXACT('변경(260104_260131)'!AD15,'원번표(수정불가)'!AD15)=$BS$9,"","변경")</f>
        <v/>
      </c>
      <c r="AE15" s="204">
        <f t="shared" si="0"/>
        <v>0</v>
      </c>
      <c r="AF15" s="205">
        <f t="shared" si="19"/>
        <v>0</v>
      </c>
      <c r="AG15" s="104"/>
      <c r="AH15" s="105"/>
      <c r="AI15" s="106"/>
      <c r="AJ15" s="106"/>
      <c r="AK15" s="212">
        <f t="shared" si="1"/>
        <v>0</v>
      </c>
      <c r="AL15" s="213">
        <f t="shared" si="2"/>
        <v>0</v>
      </c>
      <c r="AM15" s="213">
        <f t="shared" si="3"/>
        <v>0</v>
      </c>
      <c r="AN15" s="213">
        <f t="shared" si="3"/>
        <v>0</v>
      </c>
      <c r="AO15" s="213">
        <f t="shared" si="4"/>
        <v>0</v>
      </c>
      <c r="AP15" s="213">
        <f t="shared" si="4"/>
        <v>0</v>
      </c>
      <c r="AQ15" s="213">
        <f t="shared" si="5"/>
        <v>0</v>
      </c>
      <c r="AR15" s="213">
        <f t="shared" si="5"/>
        <v>0</v>
      </c>
      <c r="AS15" s="169" t="s">
        <v>29</v>
      </c>
      <c r="AT15" s="17">
        <f t="shared" si="6"/>
        <v>0</v>
      </c>
      <c r="AU15" s="17">
        <f t="shared" si="7"/>
        <v>0</v>
      </c>
      <c r="AV15" s="17">
        <f t="shared" si="8"/>
        <v>0</v>
      </c>
      <c r="AW15" s="11">
        <f t="shared" si="9"/>
        <v>0</v>
      </c>
      <c r="AX15" s="11">
        <f t="shared" si="10"/>
        <v>0</v>
      </c>
      <c r="AY15" s="11">
        <f t="shared" si="11"/>
        <v>0</v>
      </c>
      <c r="AZ15" s="11">
        <f t="shared" si="12"/>
        <v>0</v>
      </c>
      <c r="BA15" s="11">
        <f t="shared" si="13"/>
        <v>0</v>
      </c>
      <c r="BB15" s="11">
        <f t="shared" si="14"/>
        <v>0</v>
      </c>
      <c r="BC15" s="11">
        <f t="shared" si="15"/>
        <v>0</v>
      </c>
      <c r="BD15" s="28">
        <f t="shared" si="16"/>
        <v>0</v>
      </c>
      <c r="BE15" s="29">
        <f t="shared" si="17"/>
        <v>0</v>
      </c>
      <c r="BF15" s="11">
        <f t="shared" si="18"/>
        <v>0</v>
      </c>
    </row>
    <row r="16" spans="1:71">
      <c r="A16" s="245" t="s">
        <v>30</v>
      </c>
      <c r="B16" s="234"/>
      <c r="C16" s="132" t="str">
        <f>IF(EXACT('변경(260104_260131)'!C16,'원번표(수정불가)'!C16)=$BS$9,"","변경")</f>
        <v/>
      </c>
      <c r="D16" s="22" t="str">
        <f>IF(EXACT('변경(260104_260131)'!D16,'원번표(수정불가)'!D16)=$BS$9,"","변경")</f>
        <v/>
      </c>
      <c r="E16" s="22" t="str">
        <f>IF(EXACT('변경(260104_260131)'!E16,'원번표(수정불가)'!E16)=$BS$9,"","변경")</f>
        <v/>
      </c>
      <c r="F16" s="22" t="str">
        <f>IF(EXACT('변경(260104_260131)'!F16,'원번표(수정불가)'!F16)=$BS$9,"","변경")</f>
        <v/>
      </c>
      <c r="G16" s="22" t="str">
        <f>IF(EXACT('변경(260104_260131)'!G16,'원번표(수정불가)'!G16)=$BS$9,"","변경")</f>
        <v/>
      </c>
      <c r="H16" s="22" t="str">
        <f>IF(EXACT('변경(260104_260131)'!H16,'원번표(수정불가)'!H16)=$BS$9,"","변경")</f>
        <v/>
      </c>
      <c r="I16" s="55" t="str">
        <f>IF(EXACT('변경(260104_260131)'!I16,'원번표(수정불가)'!I16)=$BS$9,"","변경")</f>
        <v/>
      </c>
      <c r="J16" s="132" t="str">
        <f>IF(EXACT('변경(260104_260131)'!J16,'원번표(수정불가)'!J16)=$BS$9,"","변경")</f>
        <v/>
      </c>
      <c r="K16" s="22" t="str">
        <f>IF(EXACT('변경(260104_260131)'!K16,'원번표(수정불가)'!K16)=$BS$9,"","변경")</f>
        <v/>
      </c>
      <c r="L16" s="22" t="str">
        <f>IF(EXACT('변경(260104_260131)'!L16,'원번표(수정불가)'!L16)=$BS$9,"","변경")</f>
        <v/>
      </c>
      <c r="M16" s="22" t="str">
        <f>IF(EXACT('변경(260104_260131)'!M16,'원번표(수정불가)'!M16)=$BS$9,"","변경")</f>
        <v/>
      </c>
      <c r="N16" s="22" t="str">
        <f>IF(EXACT('변경(260104_260131)'!N16,'원번표(수정불가)'!N16)=$BS$9,"","변경")</f>
        <v/>
      </c>
      <c r="O16" s="22" t="str">
        <f>IF(EXACT('변경(260104_260131)'!O16,'원번표(수정불가)'!O16)=$BS$9,"","변경")</f>
        <v/>
      </c>
      <c r="P16" s="135" t="str">
        <f>IF(EXACT('변경(260104_260131)'!P16,'원번표(수정불가)'!P16)=$BS$9,"","변경")</f>
        <v/>
      </c>
      <c r="Q16" s="21" t="str">
        <f>IF(EXACT('변경(260104_260131)'!Q16,'원번표(수정불가)'!Q16)=$BS$9,"","변경")</f>
        <v/>
      </c>
      <c r="R16" s="22" t="str">
        <f>IF(EXACT('변경(260104_260131)'!R16,'원번표(수정불가)'!R16)=$BS$9,"","변경")</f>
        <v/>
      </c>
      <c r="S16" s="22" t="str">
        <f>IF(EXACT('변경(260104_260131)'!S16,'원번표(수정불가)'!S16)=$BS$9,"","변경")</f>
        <v/>
      </c>
      <c r="T16" s="22" t="str">
        <f>IF(EXACT('변경(260104_260131)'!T16,'원번표(수정불가)'!T16)=$BS$9,"","변경")</f>
        <v/>
      </c>
      <c r="U16" s="22" t="str">
        <f>IF(EXACT('변경(260104_260131)'!U16,'원번표(수정불가)'!U16)=$BS$9,"","변경")</f>
        <v/>
      </c>
      <c r="V16" s="22" t="str">
        <f>IF(EXACT('변경(260104_260131)'!V16,'원번표(수정불가)'!V16)=$BS$9,"","변경")</f>
        <v/>
      </c>
      <c r="W16" s="55" t="str">
        <f>IF(EXACT('변경(260104_260131)'!W16,'원번표(수정불가)'!W16)=$BS$9,"","변경")</f>
        <v/>
      </c>
      <c r="X16" s="132" t="str">
        <f>IF(EXACT('변경(260104_260131)'!X16,'원번표(수정불가)'!X16)=$BS$9,"","변경")</f>
        <v/>
      </c>
      <c r="Y16" s="22" t="str">
        <f>IF(EXACT('변경(260104_260131)'!Y16,'원번표(수정불가)'!Y16)=$BS$9,"","변경")</f>
        <v/>
      </c>
      <c r="Z16" s="22" t="str">
        <f>IF(EXACT('변경(260104_260131)'!Z16,'원번표(수정불가)'!Z16)=$BS$9,"","변경")</f>
        <v/>
      </c>
      <c r="AA16" s="22" t="str">
        <f>IF(EXACT('변경(260104_260131)'!AA16,'원번표(수정불가)'!AA16)=$BS$9,"","변경")</f>
        <v/>
      </c>
      <c r="AB16" s="22" t="str">
        <f>IF(EXACT('변경(260104_260131)'!AB16,'원번표(수정불가)'!AB16)=$BS$9,"","변경")</f>
        <v/>
      </c>
      <c r="AC16" s="22" t="str">
        <f>IF(EXACT('변경(260104_260131)'!AC16,'원번표(수정불가)'!AC16)=$BS$9,"","변경")</f>
        <v/>
      </c>
      <c r="AD16" s="135" t="str">
        <f>IF(EXACT('변경(260104_260131)'!AD16,'원번표(수정불가)'!AD16)=$BS$9,"","변경")</f>
        <v>변경</v>
      </c>
      <c r="AE16" s="208">
        <f t="shared" si="0"/>
        <v>0</v>
      </c>
      <c r="AF16" s="209">
        <f t="shared" si="19"/>
        <v>0</v>
      </c>
      <c r="AG16" s="107"/>
      <c r="AH16" s="108"/>
      <c r="AI16" s="109"/>
      <c r="AJ16" s="109"/>
      <c r="AK16" s="214">
        <f t="shared" si="1"/>
        <v>0</v>
      </c>
      <c r="AL16" s="58">
        <f t="shared" si="2"/>
        <v>0</v>
      </c>
      <c r="AM16" s="58">
        <f t="shared" si="3"/>
        <v>0</v>
      </c>
      <c r="AN16" s="58">
        <f t="shared" si="3"/>
        <v>0</v>
      </c>
      <c r="AO16" s="58">
        <f t="shared" si="4"/>
        <v>0</v>
      </c>
      <c r="AP16" s="58">
        <f t="shared" si="4"/>
        <v>0</v>
      </c>
      <c r="AQ16" s="58">
        <f t="shared" si="5"/>
        <v>0</v>
      </c>
      <c r="AR16" s="58">
        <f t="shared" si="5"/>
        <v>0</v>
      </c>
      <c r="AS16" s="245" t="s">
        <v>30</v>
      </c>
      <c r="AT16" s="17">
        <f t="shared" si="6"/>
        <v>0</v>
      </c>
      <c r="AU16" s="17">
        <f t="shared" si="7"/>
        <v>0</v>
      </c>
      <c r="AV16" s="17">
        <f t="shared" si="8"/>
        <v>0</v>
      </c>
      <c r="AW16" s="11">
        <f t="shared" si="9"/>
        <v>0</v>
      </c>
      <c r="AX16" s="11">
        <f t="shared" si="10"/>
        <v>0</v>
      </c>
      <c r="AY16" s="11">
        <f t="shared" si="11"/>
        <v>0</v>
      </c>
      <c r="AZ16" s="11">
        <f t="shared" si="12"/>
        <v>0</v>
      </c>
      <c r="BA16" s="11">
        <f t="shared" si="13"/>
        <v>0</v>
      </c>
      <c r="BB16" s="11">
        <f t="shared" si="14"/>
        <v>0</v>
      </c>
      <c r="BC16" s="11">
        <f t="shared" si="15"/>
        <v>0</v>
      </c>
      <c r="BD16" s="28">
        <f t="shared" si="16"/>
        <v>0</v>
      </c>
      <c r="BE16" s="29">
        <f t="shared" si="17"/>
        <v>0</v>
      </c>
      <c r="BF16" s="11">
        <f t="shared" si="18"/>
        <v>0</v>
      </c>
    </row>
    <row r="17" spans="1:58">
      <c r="A17" s="144" t="s">
        <v>31</v>
      </c>
      <c r="B17" s="62"/>
      <c r="C17" s="61" t="str">
        <f>IF(EXACT('변경(260104_260131)'!C17,'원번표(수정불가)'!C17)=$BS$9,"","변경")</f>
        <v/>
      </c>
      <c r="D17" s="32" t="str">
        <f>IF(EXACT('변경(260104_260131)'!D17,'원번표(수정불가)'!D17)=$BS$9,"","변경")</f>
        <v/>
      </c>
      <c r="E17" s="32" t="str">
        <f>IF(EXACT('변경(260104_260131)'!E17,'원번표(수정불가)'!E17)=$BS$9,"","변경")</f>
        <v/>
      </c>
      <c r="F17" s="32" t="str">
        <f>IF(EXACT('변경(260104_260131)'!F17,'원번표(수정불가)'!F17)=$BS$9,"","변경")</f>
        <v/>
      </c>
      <c r="G17" s="32" t="str">
        <f>IF(EXACT('변경(260104_260131)'!G17,'원번표(수정불가)'!G17)=$BS$9,"","변경")</f>
        <v/>
      </c>
      <c r="H17" s="32" t="str">
        <f>IF(EXACT('변경(260104_260131)'!H17,'원번표(수정불가)'!H17)=$BS$9,"","변경")</f>
        <v/>
      </c>
      <c r="I17" s="33" t="str">
        <f>IF(EXACT('변경(260104_260131)'!I17,'원번표(수정불가)'!I17)=$BS$9,"","변경")</f>
        <v/>
      </c>
      <c r="J17" s="61" t="str">
        <f>IF(EXACT('변경(260104_260131)'!J17,'원번표(수정불가)'!J17)=$BS$9,"","변경")</f>
        <v/>
      </c>
      <c r="K17" s="32" t="str">
        <f>IF(EXACT('변경(260104_260131)'!K17,'원번표(수정불가)'!K17)=$BS$9,"","변경")</f>
        <v/>
      </c>
      <c r="L17" s="32" t="str">
        <f>IF(EXACT('변경(260104_260131)'!L17,'원번표(수정불가)'!L17)=$BS$9,"","변경")</f>
        <v/>
      </c>
      <c r="M17" s="32" t="str">
        <f>IF(EXACT('변경(260104_260131)'!M17,'원번표(수정불가)'!M17)=$BS$9,"","변경")</f>
        <v/>
      </c>
      <c r="N17" s="32" t="str">
        <f>IF(EXACT('변경(260104_260131)'!N17,'원번표(수정불가)'!N17)=$BS$9,"","변경")</f>
        <v/>
      </c>
      <c r="O17" s="32" t="str">
        <f>IF(EXACT('변경(260104_260131)'!O17,'원번표(수정불가)'!O17)=$BS$9,"","변경")</f>
        <v/>
      </c>
      <c r="P17" s="73" t="str">
        <f>IF(EXACT('변경(260104_260131)'!P17,'원번표(수정불가)'!P17)=$BS$9,"","변경")</f>
        <v/>
      </c>
      <c r="Q17" s="31" t="str">
        <f>IF(EXACT('변경(260104_260131)'!Q17,'원번표(수정불가)'!Q17)=$BS$9,"","변경")</f>
        <v/>
      </c>
      <c r="R17" s="32" t="str">
        <f>IF(EXACT('변경(260104_260131)'!R17,'원번표(수정불가)'!R17)=$BS$9,"","변경")</f>
        <v/>
      </c>
      <c r="S17" s="32" t="str">
        <f>IF(EXACT('변경(260104_260131)'!S17,'원번표(수정불가)'!S17)=$BS$9,"","변경")</f>
        <v/>
      </c>
      <c r="T17" s="32" t="str">
        <f>IF(EXACT('변경(260104_260131)'!T17,'원번표(수정불가)'!T17)=$BS$9,"","변경")</f>
        <v/>
      </c>
      <c r="U17" s="32" t="str">
        <f>IF(EXACT('변경(260104_260131)'!U17,'원번표(수정불가)'!U17)=$BS$9,"","변경")</f>
        <v/>
      </c>
      <c r="V17" s="32" t="str">
        <f>IF(EXACT('변경(260104_260131)'!V17,'원번표(수정불가)'!V17)=$BS$9,"","변경")</f>
        <v/>
      </c>
      <c r="W17" s="33" t="str">
        <f>IF(EXACT('변경(260104_260131)'!W17,'원번표(수정불가)'!W17)=$BS$9,"","변경")</f>
        <v/>
      </c>
      <c r="X17" s="61" t="str">
        <f>IF(EXACT('변경(260104_260131)'!X17,'원번표(수정불가)'!X17)=$BS$9,"","변경")</f>
        <v/>
      </c>
      <c r="Y17" s="32" t="str">
        <f>IF(EXACT('변경(260104_260131)'!Y17,'원번표(수정불가)'!Y17)=$BS$9,"","변경")</f>
        <v/>
      </c>
      <c r="Z17" s="32" t="str">
        <f>IF(EXACT('변경(260104_260131)'!Z17,'원번표(수정불가)'!Z17)=$BS$9,"","변경")</f>
        <v/>
      </c>
      <c r="AA17" s="32" t="str">
        <f>IF(EXACT('변경(260104_260131)'!AA17,'원번표(수정불가)'!AA17)=$BS$9,"","변경")</f>
        <v/>
      </c>
      <c r="AB17" s="32" t="str">
        <f>IF(EXACT('변경(260104_260131)'!AB17,'원번표(수정불가)'!AB17)=$BS$9,"","변경")</f>
        <v/>
      </c>
      <c r="AC17" s="32" t="str">
        <f>IF(EXACT('변경(260104_260131)'!AC17,'원번표(수정불가)'!AC17)=$BS$9,"","변경")</f>
        <v/>
      </c>
      <c r="AD17" s="73" t="str">
        <f>IF(EXACT('변경(260104_260131)'!AD17,'원번표(수정불가)'!AD17)=$BS$9,"","변경")</f>
        <v/>
      </c>
      <c r="AE17" s="199">
        <f>SUM(AT17:BC17)</f>
        <v>0</v>
      </c>
      <c r="AF17" s="200">
        <f t="shared" si="19"/>
        <v>0</v>
      </c>
      <c r="AG17" s="107"/>
      <c r="AH17" s="108"/>
      <c r="AI17" s="109"/>
      <c r="AJ17" s="109"/>
      <c r="AK17" s="184">
        <f t="shared" si="1"/>
        <v>0</v>
      </c>
      <c r="AL17" s="183">
        <f t="shared" si="2"/>
        <v>0</v>
      </c>
      <c r="AM17" s="183">
        <f t="shared" si="3"/>
        <v>0</v>
      </c>
      <c r="AN17" s="183">
        <f t="shared" si="3"/>
        <v>0</v>
      </c>
      <c r="AO17" s="183">
        <f t="shared" si="4"/>
        <v>0</v>
      </c>
      <c r="AP17" s="183">
        <f t="shared" si="4"/>
        <v>0</v>
      </c>
      <c r="AQ17" s="183">
        <f t="shared" si="5"/>
        <v>0</v>
      </c>
      <c r="AR17" s="183">
        <f t="shared" si="5"/>
        <v>0</v>
      </c>
      <c r="AS17" s="144" t="s">
        <v>31</v>
      </c>
      <c r="AT17" s="17">
        <f t="shared" si="6"/>
        <v>0</v>
      </c>
      <c r="AU17" s="17">
        <f t="shared" si="7"/>
        <v>0</v>
      </c>
      <c r="AV17" s="17">
        <f t="shared" si="8"/>
        <v>0</v>
      </c>
      <c r="AW17" s="11">
        <f t="shared" si="9"/>
        <v>0</v>
      </c>
      <c r="AX17" s="11">
        <f t="shared" si="10"/>
        <v>0</v>
      </c>
      <c r="AY17" s="11">
        <f t="shared" si="11"/>
        <v>0</v>
      </c>
      <c r="AZ17" s="11">
        <f t="shared" si="12"/>
        <v>0</v>
      </c>
      <c r="BA17" s="11">
        <f t="shared" si="13"/>
        <v>0</v>
      </c>
      <c r="BB17" s="11">
        <f t="shared" si="14"/>
        <v>0</v>
      </c>
      <c r="BC17" s="11">
        <f t="shared" si="15"/>
        <v>0</v>
      </c>
      <c r="BD17" s="28">
        <f t="shared" si="16"/>
        <v>0</v>
      </c>
      <c r="BE17" s="29">
        <f t="shared" si="17"/>
        <v>0</v>
      </c>
      <c r="BF17" s="11">
        <f t="shared" si="18"/>
        <v>0</v>
      </c>
    </row>
    <row r="18" spans="1:58">
      <c r="A18" s="144" t="s">
        <v>32</v>
      </c>
      <c r="B18" s="62"/>
      <c r="C18" s="61" t="str">
        <f>IF(EXACT('변경(260104_260131)'!C18,'원번표(수정불가)'!C18)=$BS$9,"","변경")</f>
        <v/>
      </c>
      <c r="D18" s="32" t="str">
        <f>IF(EXACT('변경(260104_260131)'!D18,'원번표(수정불가)'!D18)=$BS$9,"","변경")</f>
        <v/>
      </c>
      <c r="E18" s="32" t="str">
        <f>IF(EXACT('변경(260104_260131)'!E18,'원번표(수정불가)'!E18)=$BS$9,"","변경")</f>
        <v/>
      </c>
      <c r="F18" s="32" t="str">
        <f>IF(EXACT('변경(260104_260131)'!F18,'원번표(수정불가)'!F18)=$BS$9,"","변경")</f>
        <v/>
      </c>
      <c r="G18" s="32" t="str">
        <f>IF(EXACT('변경(260104_260131)'!G18,'원번표(수정불가)'!G18)=$BS$9,"","변경")</f>
        <v/>
      </c>
      <c r="H18" s="32" t="str">
        <f>IF(EXACT('변경(260104_260131)'!H18,'원번표(수정불가)'!H18)=$BS$9,"","변경")</f>
        <v/>
      </c>
      <c r="I18" s="33" t="str">
        <f>IF(EXACT('변경(260104_260131)'!I18,'원번표(수정불가)'!I18)=$BS$9,"","변경")</f>
        <v/>
      </c>
      <c r="J18" s="61" t="str">
        <f>IF(EXACT('변경(260104_260131)'!J18,'원번표(수정불가)'!J18)=$BS$9,"","변경")</f>
        <v/>
      </c>
      <c r="K18" s="32" t="str">
        <f>IF(EXACT('변경(260104_260131)'!K18,'원번표(수정불가)'!K18)=$BS$9,"","변경")</f>
        <v/>
      </c>
      <c r="L18" s="32" t="str">
        <f>IF(EXACT('변경(260104_260131)'!L18,'원번표(수정불가)'!L18)=$BS$9,"","변경")</f>
        <v/>
      </c>
      <c r="M18" s="32" t="str">
        <f>IF(EXACT('변경(260104_260131)'!M18,'원번표(수정불가)'!M18)=$BS$9,"","변경")</f>
        <v/>
      </c>
      <c r="N18" s="32" t="str">
        <f>IF(EXACT('변경(260104_260131)'!N18,'원번표(수정불가)'!N18)=$BS$9,"","변경")</f>
        <v/>
      </c>
      <c r="O18" s="32" t="str">
        <f>IF(EXACT('변경(260104_260131)'!O18,'원번표(수정불가)'!O18)=$BS$9,"","변경")</f>
        <v/>
      </c>
      <c r="P18" s="73" t="str">
        <f>IF(EXACT('변경(260104_260131)'!P18,'원번표(수정불가)'!P18)=$BS$9,"","변경")</f>
        <v/>
      </c>
      <c r="Q18" s="31" t="str">
        <f>IF(EXACT('변경(260104_260131)'!Q18,'원번표(수정불가)'!Q18)=$BS$9,"","변경")</f>
        <v/>
      </c>
      <c r="R18" s="32" t="str">
        <f>IF(EXACT('변경(260104_260131)'!R18,'원번표(수정불가)'!R18)=$BS$9,"","변경")</f>
        <v/>
      </c>
      <c r="S18" s="32" t="str">
        <f>IF(EXACT('변경(260104_260131)'!S18,'원번표(수정불가)'!S18)=$BS$9,"","변경")</f>
        <v/>
      </c>
      <c r="T18" s="32" t="str">
        <f>IF(EXACT('변경(260104_260131)'!T18,'원번표(수정불가)'!T18)=$BS$9,"","변경")</f>
        <v/>
      </c>
      <c r="U18" s="32" t="str">
        <f>IF(EXACT('변경(260104_260131)'!U18,'원번표(수정불가)'!U18)=$BS$9,"","변경")</f>
        <v/>
      </c>
      <c r="V18" s="32" t="str">
        <f>IF(EXACT('변경(260104_260131)'!V18,'원번표(수정불가)'!V18)=$BS$9,"","변경")</f>
        <v/>
      </c>
      <c r="W18" s="33" t="str">
        <f>IF(EXACT('변경(260104_260131)'!W18,'원번표(수정불가)'!W18)=$BS$9,"","변경")</f>
        <v/>
      </c>
      <c r="X18" s="61" t="str">
        <f>IF(EXACT('변경(260104_260131)'!X18,'원번표(수정불가)'!X18)=$BS$9,"","변경")</f>
        <v/>
      </c>
      <c r="Y18" s="32" t="str">
        <f>IF(EXACT('변경(260104_260131)'!Y18,'원번표(수정불가)'!Y18)=$BS$9,"","변경")</f>
        <v/>
      </c>
      <c r="Z18" s="32" t="str">
        <f>IF(EXACT('변경(260104_260131)'!Z18,'원번표(수정불가)'!Z18)=$BS$9,"","변경")</f>
        <v/>
      </c>
      <c r="AA18" s="32" t="str">
        <f>IF(EXACT('변경(260104_260131)'!AA18,'원번표(수정불가)'!AA18)=$BS$9,"","변경")</f>
        <v/>
      </c>
      <c r="AB18" s="32" t="str">
        <f>IF(EXACT('변경(260104_260131)'!AB18,'원번표(수정불가)'!AB18)=$BS$9,"","변경")</f>
        <v/>
      </c>
      <c r="AC18" s="32" t="str">
        <f>IF(EXACT('변경(260104_260131)'!AC18,'원번표(수정불가)'!AC18)=$BS$9,"","변경")</f>
        <v/>
      </c>
      <c r="AD18" s="73" t="str">
        <f>IF(EXACT('변경(260104_260131)'!AD18,'원번표(수정불가)'!AD18)=$BS$9,"","변경")</f>
        <v/>
      </c>
      <c r="AE18" s="197">
        <f t="shared" si="0"/>
        <v>0</v>
      </c>
      <c r="AF18" s="198">
        <f t="shared" si="19"/>
        <v>0</v>
      </c>
      <c r="AG18" s="104"/>
      <c r="AH18" s="105"/>
      <c r="AI18" s="106"/>
      <c r="AJ18" s="106"/>
      <c r="AK18" s="175">
        <f t="shared" si="1"/>
        <v>0</v>
      </c>
      <c r="AL18" s="38">
        <f t="shared" si="2"/>
        <v>0</v>
      </c>
      <c r="AM18" s="38">
        <f t="shared" si="3"/>
        <v>0</v>
      </c>
      <c r="AN18" s="38">
        <f t="shared" si="3"/>
        <v>0</v>
      </c>
      <c r="AO18" s="38">
        <f t="shared" si="4"/>
        <v>0</v>
      </c>
      <c r="AP18" s="38">
        <f>COUNTIF($Q18:$W18,AP$6)</f>
        <v>0</v>
      </c>
      <c r="AQ18" s="38">
        <f t="shared" si="5"/>
        <v>0</v>
      </c>
      <c r="AR18" s="38">
        <f t="shared" si="5"/>
        <v>0</v>
      </c>
      <c r="AS18" s="144" t="s">
        <v>32</v>
      </c>
      <c r="AT18" s="17">
        <f t="shared" si="6"/>
        <v>0</v>
      </c>
      <c r="AU18" s="17">
        <f t="shared" si="7"/>
        <v>0</v>
      </c>
      <c r="AV18" s="17">
        <f t="shared" si="8"/>
        <v>0</v>
      </c>
      <c r="AW18" s="11">
        <f t="shared" si="9"/>
        <v>0</v>
      </c>
      <c r="AX18" s="11">
        <f t="shared" si="10"/>
        <v>0</v>
      </c>
      <c r="AY18" s="11">
        <f t="shared" si="11"/>
        <v>0</v>
      </c>
      <c r="AZ18" s="11">
        <f t="shared" si="12"/>
        <v>0</v>
      </c>
      <c r="BA18" s="11">
        <f t="shared" si="13"/>
        <v>0</v>
      </c>
      <c r="BB18" s="11">
        <f t="shared" si="14"/>
        <v>0</v>
      </c>
      <c r="BC18" s="11">
        <f t="shared" si="15"/>
        <v>0</v>
      </c>
      <c r="BD18" s="28">
        <f t="shared" si="16"/>
        <v>0</v>
      </c>
      <c r="BE18" s="29">
        <f t="shared" si="17"/>
        <v>0</v>
      </c>
      <c r="BF18" s="11">
        <f t="shared" si="18"/>
        <v>0</v>
      </c>
    </row>
    <row r="19" spans="1:58">
      <c r="A19" s="144" t="s">
        <v>33</v>
      </c>
      <c r="B19" s="62"/>
      <c r="C19" s="61" t="str">
        <f>IF(EXACT('변경(260104_260131)'!C19,'원번표(수정불가)'!C19)=$BS$9,"","변경")</f>
        <v/>
      </c>
      <c r="D19" s="32" t="str">
        <f>IF(EXACT('변경(260104_260131)'!D19,'원번표(수정불가)'!D19)=$BS$9,"","변경")</f>
        <v/>
      </c>
      <c r="E19" s="32" t="str">
        <f>IF(EXACT('변경(260104_260131)'!E19,'원번표(수정불가)'!E19)=$BS$9,"","변경")</f>
        <v/>
      </c>
      <c r="F19" s="32" t="str">
        <f>IF(EXACT('변경(260104_260131)'!F19,'원번표(수정불가)'!F19)=$BS$9,"","변경")</f>
        <v/>
      </c>
      <c r="G19" s="32" t="str">
        <f>IF(EXACT('변경(260104_260131)'!G19,'원번표(수정불가)'!G19)=$BS$9,"","변경")</f>
        <v/>
      </c>
      <c r="H19" s="32" t="str">
        <f>IF(EXACT('변경(260104_260131)'!H19,'원번표(수정불가)'!H19)=$BS$9,"","변경")</f>
        <v/>
      </c>
      <c r="I19" s="33" t="str">
        <f>IF(EXACT('변경(260104_260131)'!I19,'원번표(수정불가)'!I19)=$BS$9,"","변경")</f>
        <v/>
      </c>
      <c r="J19" s="61" t="str">
        <f>IF(EXACT('변경(260104_260131)'!J19,'원번표(수정불가)'!J19)=$BS$9,"","변경")</f>
        <v/>
      </c>
      <c r="K19" s="32" t="str">
        <f>IF(EXACT('변경(260104_260131)'!K19,'원번표(수정불가)'!K19)=$BS$9,"","변경")</f>
        <v/>
      </c>
      <c r="L19" s="32" t="str">
        <f>IF(EXACT('변경(260104_260131)'!L19,'원번표(수정불가)'!L19)=$BS$9,"","변경")</f>
        <v/>
      </c>
      <c r="M19" s="32" t="str">
        <f>IF(EXACT('변경(260104_260131)'!M19,'원번표(수정불가)'!M19)=$BS$9,"","변경")</f>
        <v/>
      </c>
      <c r="N19" s="32" t="str">
        <f>IF(EXACT('변경(260104_260131)'!N19,'원번표(수정불가)'!N19)=$BS$9,"","변경")</f>
        <v/>
      </c>
      <c r="O19" s="32" t="str">
        <f>IF(EXACT('변경(260104_260131)'!O19,'원번표(수정불가)'!O19)=$BS$9,"","변경")</f>
        <v/>
      </c>
      <c r="P19" s="73" t="str">
        <f>IF(EXACT('변경(260104_260131)'!P19,'원번표(수정불가)'!P19)=$BS$9,"","변경")</f>
        <v/>
      </c>
      <c r="Q19" s="31" t="str">
        <f>IF(EXACT('변경(260104_260131)'!Q19,'원번표(수정불가)'!Q19)=$BS$9,"","변경")</f>
        <v/>
      </c>
      <c r="R19" s="32" t="str">
        <f>IF(EXACT('변경(260104_260131)'!R19,'원번표(수정불가)'!R19)=$BS$9,"","변경")</f>
        <v/>
      </c>
      <c r="S19" s="32" t="str">
        <f>IF(EXACT('변경(260104_260131)'!S19,'원번표(수정불가)'!S19)=$BS$9,"","변경")</f>
        <v/>
      </c>
      <c r="T19" s="32" t="str">
        <f>IF(EXACT('변경(260104_260131)'!T19,'원번표(수정불가)'!T19)=$BS$9,"","변경")</f>
        <v/>
      </c>
      <c r="U19" s="32" t="str">
        <f>IF(EXACT('변경(260104_260131)'!U19,'원번표(수정불가)'!U19)=$BS$9,"","변경")</f>
        <v/>
      </c>
      <c r="V19" s="32" t="str">
        <f>IF(EXACT('변경(260104_260131)'!V19,'원번표(수정불가)'!V19)=$BS$9,"","변경")</f>
        <v/>
      </c>
      <c r="W19" s="33" t="str">
        <f>IF(EXACT('변경(260104_260131)'!W19,'원번표(수정불가)'!W19)=$BS$9,"","변경")</f>
        <v/>
      </c>
      <c r="X19" s="61" t="str">
        <f>IF(EXACT('변경(260104_260131)'!X19,'원번표(수정불가)'!X19)=$BS$9,"","변경")</f>
        <v/>
      </c>
      <c r="Y19" s="32" t="str">
        <f>IF(EXACT('변경(260104_260131)'!Y19,'원번표(수정불가)'!Y19)=$BS$9,"","변경")</f>
        <v/>
      </c>
      <c r="Z19" s="32" t="str">
        <f>IF(EXACT('변경(260104_260131)'!Z19,'원번표(수정불가)'!Z19)=$BS$9,"","변경")</f>
        <v/>
      </c>
      <c r="AA19" s="32" t="str">
        <f>IF(EXACT('변경(260104_260131)'!AA19,'원번표(수정불가)'!AA19)=$BS$9,"","변경")</f>
        <v/>
      </c>
      <c r="AB19" s="32" t="str">
        <f>IF(EXACT('변경(260104_260131)'!AB19,'원번표(수정불가)'!AB19)=$BS$9,"","변경")</f>
        <v/>
      </c>
      <c r="AC19" s="32" t="str">
        <f>IF(EXACT('변경(260104_260131)'!AC19,'원번표(수정불가)'!AC19)=$BS$9,"","변경")</f>
        <v/>
      </c>
      <c r="AD19" s="73" t="str">
        <f>IF(EXACT('변경(260104_260131)'!AD19,'원번표(수정불가)'!AD19)=$BS$9,"","변경")</f>
        <v/>
      </c>
      <c r="AE19" s="199">
        <f t="shared" si="0"/>
        <v>0</v>
      </c>
      <c r="AF19" s="198">
        <f t="shared" si="19"/>
        <v>0</v>
      </c>
      <c r="AG19" s="104"/>
      <c r="AH19" s="105"/>
      <c r="AI19" s="106"/>
      <c r="AJ19" s="106"/>
      <c r="AK19" s="175">
        <f t="shared" si="1"/>
        <v>0</v>
      </c>
      <c r="AL19" s="38">
        <f t="shared" si="2"/>
        <v>0</v>
      </c>
      <c r="AM19" s="38">
        <f t="shared" si="3"/>
        <v>0</v>
      </c>
      <c r="AN19" s="38">
        <f t="shared" si="3"/>
        <v>0</v>
      </c>
      <c r="AO19" s="38">
        <f t="shared" si="4"/>
        <v>0</v>
      </c>
      <c r="AP19" s="38">
        <f t="shared" si="4"/>
        <v>0</v>
      </c>
      <c r="AQ19" s="38">
        <f t="shared" si="5"/>
        <v>0</v>
      </c>
      <c r="AR19" s="38">
        <f t="shared" si="5"/>
        <v>0</v>
      </c>
      <c r="AS19" s="144" t="s">
        <v>33</v>
      </c>
      <c r="AT19" s="17">
        <f t="shared" si="6"/>
        <v>0</v>
      </c>
      <c r="AU19" s="17">
        <f t="shared" si="7"/>
        <v>0</v>
      </c>
      <c r="AV19" s="17">
        <f t="shared" si="8"/>
        <v>0</v>
      </c>
      <c r="AW19" s="11">
        <f t="shared" si="9"/>
        <v>0</v>
      </c>
      <c r="AX19" s="11">
        <f t="shared" si="10"/>
        <v>0</v>
      </c>
      <c r="AY19" s="11">
        <f t="shared" si="11"/>
        <v>0</v>
      </c>
      <c r="AZ19" s="11">
        <f t="shared" si="12"/>
        <v>0</v>
      </c>
      <c r="BA19" s="11">
        <f t="shared" si="13"/>
        <v>0</v>
      </c>
      <c r="BB19" s="11">
        <f t="shared" si="14"/>
        <v>0</v>
      </c>
      <c r="BC19" s="11">
        <f t="shared" si="15"/>
        <v>0</v>
      </c>
      <c r="BD19" s="28">
        <f t="shared" si="16"/>
        <v>0</v>
      </c>
      <c r="BE19" s="29">
        <f t="shared" si="17"/>
        <v>0</v>
      </c>
      <c r="BF19" s="11">
        <f t="shared" si="18"/>
        <v>0</v>
      </c>
    </row>
    <row r="20" spans="1:58">
      <c r="A20" s="144" t="s">
        <v>71</v>
      </c>
      <c r="B20" s="62"/>
      <c r="C20" s="61" t="str">
        <f>IF(EXACT('변경(260104_260131)'!C20,'원번표(수정불가)'!C20)=$BS$9,"","변경")</f>
        <v/>
      </c>
      <c r="D20" s="32" t="str">
        <f>IF(EXACT('변경(260104_260131)'!D20,'원번표(수정불가)'!D20)=$BS$9,"","변경")</f>
        <v/>
      </c>
      <c r="E20" s="32" t="str">
        <f>IF(EXACT('변경(260104_260131)'!E20,'원번표(수정불가)'!E20)=$BS$9,"","변경")</f>
        <v/>
      </c>
      <c r="F20" s="32" t="str">
        <f>IF(EXACT('변경(260104_260131)'!F20,'원번표(수정불가)'!F20)=$BS$9,"","변경")</f>
        <v>변경</v>
      </c>
      <c r="G20" s="32" t="str">
        <f>IF(EXACT('변경(260104_260131)'!G20,'원번표(수정불가)'!G20)=$BS$9,"","변경")</f>
        <v/>
      </c>
      <c r="H20" s="32" t="str">
        <f>IF(EXACT('변경(260104_260131)'!H20,'원번표(수정불가)'!H20)=$BS$9,"","변경")</f>
        <v/>
      </c>
      <c r="I20" s="33" t="str">
        <f>IF(EXACT('변경(260104_260131)'!I20,'원번표(수정불가)'!I20)=$BS$9,"","변경")</f>
        <v/>
      </c>
      <c r="J20" s="61" t="str">
        <f>IF(EXACT('변경(260104_260131)'!J20,'원번표(수정불가)'!J20)=$BS$9,"","변경")</f>
        <v/>
      </c>
      <c r="K20" s="32" t="str">
        <f>IF(EXACT('변경(260104_260131)'!K20,'원번표(수정불가)'!K20)=$BS$9,"","변경")</f>
        <v/>
      </c>
      <c r="L20" s="32" t="str">
        <f>IF(EXACT('변경(260104_260131)'!L20,'원번표(수정불가)'!L20)=$BS$9,"","변경")</f>
        <v/>
      </c>
      <c r="M20" s="32" t="str">
        <f>IF(EXACT('변경(260104_260131)'!M20,'원번표(수정불가)'!M20)=$BS$9,"","변경")</f>
        <v/>
      </c>
      <c r="N20" s="32" t="str">
        <f>IF(EXACT('변경(260104_260131)'!N20,'원번표(수정불가)'!N20)=$BS$9,"","변경")</f>
        <v/>
      </c>
      <c r="O20" s="32" t="str">
        <f>IF(EXACT('변경(260104_260131)'!O20,'원번표(수정불가)'!O20)=$BS$9,"","변경")</f>
        <v/>
      </c>
      <c r="P20" s="73" t="str">
        <f>IF(EXACT('변경(260104_260131)'!P20,'원번표(수정불가)'!P20)=$BS$9,"","변경")</f>
        <v/>
      </c>
      <c r="Q20" s="31" t="str">
        <f>IF(EXACT('변경(260104_260131)'!Q20,'원번표(수정불가)'!Q20)=$BS$9,"","변경")</f>
        <v/>
      </c>
      <c r="R20" s="32" t="str">
        <f>IF(EXACT('변경(260104_260131)'!R20,'원번표(수정불가)'!R20)=$BS$9,"","변경")</f>
        <v/>
      </c>
      <c r="S20" s="32" t="str">
        <f>IF(EXACT('변경(260104_260131)'!S20,'원번표(수정불가)'!S20)=$BS$9,"","변경")</f>
        <v/>
      </c>
      <c r="T20" s="32" t="str">
        <f>IF(EXACT('변경(260104_260131)'!T20,'원번표(수정불가)'!T20)=$BS$9,"","변경")</f>
        <v/>
      </c>
      <c r="U20" s="32" t="str">
        <f>IF(EXACT('변경(260104_260131)'!U20,'원번표(수정불가)'!U20)=$BS$9,"","변경")</f>
        <v/>
      </c>
      <c r="V20" s="32" t="str">
        <f>IF(EXACT('변경(260104_260131)'!V20,'원번표(수정불가)'!V20)=$BS$9,"","변경")</f>
        <v/>
      </c>
      <c r="W20" s="33" t="str">
        <f>IF(EXACT('변경(260104_260131)'!W20,'원번표(수정불가)'!W20)=$BS$9,"","변경")</f>
        <v/>
      </c>
      <c r="X20" s="61" t="str">
        <f>IF(EXACT('변경(260104_260131)'!X20,'원번표(수정불가)'!X20)=$BS$9,"","변경")</f>
        <v/>
      </c>
      <c r="Y20" s="32" t="str">
        <f>IF(EXACT('변경(260104_260131)'!Y20,'원번표(수정불가)'!Y20)=$BS$9,"","변경")</f>
        <v/>
      </c>
      <c r="Z20" s="32" t="str">
        <f>IF(EXACT('변경(260104_260131)'!Z20,'원번표(수정불가)'!Z20)=$BS$9,"","변경")</f>
        <v/>
      </c>
      <c r="AA20" s="32" t="str">
        <f>IF(EXACT('변경(260104_260131)'!AA20,'원번표(수정불가)'!AA20)=$BS$9,"","변경")</f>
        <v/>
      </c>
      <c r="AB20" s="32" t="str">
        <f>IF(EXACT('변경(260104_260131)'!AB20,'원번표(수정불가)'!AB20)=$BS$9,"","변경")</f>
        <v/>
      </c>
      <c r="AC20" s="32" t="str">
        <f>IF(EXACT('변경(260104_260131)'!AC20,'원번표(수정불가)'!AC20)=$BS$9,"","변경")</f>
        <v/>
      </c>
      <c r="AD20" s="73" t="str">
        <f>IF(EXACT('변경(260104_260131)'!AD20,'원번표(수정불가)'!AD20)=$BS$9,"","변경")</f>
        <v/>
      </c>
      <c r="AE20" s="197">
        <f t="shared" si="0"/>
        <v>0</v>
      </c>
      <c r="AF20" s="198">
        <f t="shared" si="19"/>
        <v>0</v>
      </c>
      <c r="AG20" s="104"/>
      <c r="AH20" s="105"/>
      <c r="AI20" s="106"/>
      <c r="AJ20" s="106"/>
      <c r="AK20" s="175">
        <f t="shared" si="1"/>
        <v>0</v>
      </c>
      <c r="AL20" s="38">
        <f t="shared" si="2"/>
        <v>0</v>
      </c>
      <c r="AM20" s="38">
        <f t="shared" si="3"/>
        <v>0</v>
      </c>
      <c r="AN20" s="38">
        <f t="shared" si="3"/>
        <v>0</v>
      </c>
      <c r="AO20" s="38">
        <f t="shared" si="4"/>
        <v>0</v>
      </c>
      <c r="AP20" s="38">
        <f t="shared" si="4"/>
        <v>0</v>
      </c>
      <c r="AQ20" s="38">
        <f t="shared" si="5"/>
        <v>0</v>
      </c>
      <c r="AR20" s="38">
        <f t="shared" si="5"/>
        <v>0</v>
      </c>
      <c r="AS20" s="144" t="s">
        <v>71</v>
      </c>
      <c r="AT20" s="17">
        <f t="shared" si="6"/>
        <v>0</v>
      </c>
      <c r="AU20" s="17">
        <f t="shared" si="7"/>
        <v>0</v>
      </c>
      <c r="AV20" s="17">
        <f t="shared" si="8"/>
        <v>0</v>
      </c>
      <c r="AW20" s="11">
        <f t="shared" si="9"/>
        <v>0</v>
      </c>
      <c r="AX20" s="11">
        <f t="shared" si="10"/>
        <v>0</v>
      </c>
      <c r="AY20" s="11">
        <f t="shared" si="11"/>
        <v>0</v>
      </c>
      <c r="AZ20" s="11">
        <f t="shared" si="12"/>
        <v>0</v>
      </c>
      <c r="BA20" s="11">
        <f t="shared" si="13"/>
        <v>0</v>
      </c>
      <c r="BB20" s="11">
        <f t="shared" si="14"/>
        <v>0</v>
      </c>
      <c r="BC20" s="11">
        <f t="shared" si="15"/>
        <v>0</v>
      </c>
      <c r="BD20" s="28">
        <f t="shared" si="16"/>
        <v>0</v>
      </c>
      <c r="BE20" s="29">
        <f t="shared" si="17"/>
        <v>0</v>
      </c>
      <c r="BF20" s="11">
        <f t="shared" si="18"/>
        <v>0</v>
      </c>
    </row>
    <row r="21" spans="1:58">
      <c r="A21" s="144" t="s">
        <v>34</v>
      </c>
      <c r="B21" s="62"/>
      <c r="C21" s="61" t="str">
        <f>IF(EXACT('변경(260104_260131)'!C21,'원번표(수정불가)'!C21)=$BS$9,"","변경")</f>
        <v/>
      </c>
      <c r="D21" s="32" t="str">
        <f>IF(EXACT('변경(260104_260131)'!D21,'원번표(수정불가)'!D21)=$BS$9,"","변경")</f>
        <v/>
      </c>
      <c r="E21" s="32" t="str">
        <f>IF(EXACT('변경(260104_260131)'!E21,'원번표(수정불가)'!E21)=$BS$9,"","변경")</f>
        <v/>
      </c>
      <c r="F21" s="32" t="str">
        <f>IF(EXACT('변경(260104_260131)'!F21,'원번표(수정불가)'!F21)=$BS$9,"","변경")</f>
        <v/>
      </c>
      <c r="G21" s="32" t="str">
        <f>IF(EXACT('변경(260104_260131)'!G21,'원번표(수정불가)'!G21)=$BS$9,"","변경")</f>
        <v/>
      </c>
      <c r="H21" s="32" t="str">
        <f>IF(EXACT('변경(260104_260131)'!H21,'원번표(수정불가)'!H21)=$BS$9,"","변경")</f>
        <v/>
      </c>
      <c r="I21" s="33" t="str">
        <f>IF(EXACT('변경(260104_260131)'!I21,'원번표(수정불가)'!I21)=$BS$9,"","변경")</f>
        <v/>
      </c>
      <c r="J21" s="61" t="str">
        <f>IF(EXACT('변경(260104_260131)'!J21,'원번표(수정불가)'!J21)=$BS$9,"","변경")</f>
        <v/>
      </c>
      <c r="K21" s="32" t="str">
        <f>IF(EXACT('변경(260104_260131)'!K21,'원번표(수정불가)'!K21)=$BS$9,"","변경")</f>
        <v/>
      </c>
      <c r="L21" s="32" t="str">
        <f>IF(EXACT('변경(260104_260131)'!L21,'원번표(수정불가)'!L21)=$BS$9,"","변경")</f>
        <v/>
      </c>
      <c r="M21" s="32" t="str">
        <f>IF(EXACT('변경(260104_260131)'!M21,'원번표(수정불가)'!M21)=$BS$9,"","변경")</f>
        <v/>
      </c>
      <c r="N21" s="32" t="str">
        <f>IF(EXACT('변경(260104_260131)'!N21,'원번표(수정불가)'!N21)=$BS$9,"","변경")</f>
        <v/>
      </c>
      <c r="O21" s="32" t="str">
        <f>IF(EXACT('변경(260104_260131)'!O21,'원번표(수정불가)'!O21)=$BS$9,"","변경")</f>
        <v/>
      </c>
      <c r="P21" s="73" t="str">
        <f>IF(EXACT('변경(260104_260131)'!P21,'원번표(수정불가)'!P21)=$BS$9,"","변경")</f>
        <v/>
      </c>
      <c r="Q21" s="31" t="str">
        <f>IF(EXACT('변경(260104_260131)'!Q21,'원번표(수정불가)'!Q21)=$BS$9,"","변경")</f>
        <v/>
      </c>
      <c r="R21" s="32" t="str">
        <f>IF(EXACT('변경(260104_260131)'!R21,'원번표(수정불가)'!R21)=$BS$9,"","변경")</f>
        <v/>
      </c>
      <c r="S21" s="32" t="str">
        <f>IF(EXACT('변경(260104_260131)'!S21,'원번표(수정불가)'!S21)=$BS$9,"","변경")</f>
        <v/>
      </c>
      <c r="T21" s="32" t="str">
        <f>IF(EXACT('변경(260104_260131)'!T21,'원번표(수정불가)'!T21)=$BS$9,"","변경")</f>
        <v/>
      </c>
      <c r="U21" s="32" t="str">
        <f>IF(EXACT('변경(260104_260131)'!U21,'원번표(수정불가)'!U21)=$BS$9,"","변경")</f>
        <v/>
      </c>
      <c r="V21" s="32" t="str">
        <f>IF(EXACT('변경(260104_260131)'!V21,'원번표(수정불가)'!V21)=$BS$9,"","변경")</f>
        <v/>
      </c>
      <c r="W21" s="33" t="str">
        <f>IF(EXACT('변경(260104_260131)'!W21,'원번표(수정불가)'!W21)=$BS$9,"","변경")</f>
        <v/>
      </c>
      <c r="X21" s="61" t="str">
        <f>IF(EXACT('변경(260104_260131)'!X21,'원번표(수정불가)'!X21)=$BS$9,"","변경")</f>
        <v/>
      </c>
      <c r="Y21" s="32" t="str">
        <f>IF(EXACT('변경(260104_260131)'!Y21,'원번표(수정불가)'!Y21)=$BS$9,"","변경")</f>
        <v/>
      </c>
      <c r="Z21" s="32" t="str">
        <f>IF(EXACT('변경(260104_260131)'!Z21,'원번표(수정불가)'!Z21)=$BS$9,"","변경")</f>
        <v/>
      </c>
      <c r="AA21" s="32" t="str">
        <f>IF(EXACT('변경(260104_260131)'!AA21,'원번표(수정불가)'!AA21)=$BS$9,"","변경")</f>
        <v/>
      </c>
      <c r="AB21" s="32" t="str">
        <f>IF(EXACT('변경(260104_260131)'!AB21,'원번표(수정불가)'!AB21)=$BS$9,"","변경")</f>
        <v/>
      </c>
      <c r="AC21" s="32" t="str">
        <f>IF(EXACT('변경(260104_260131)'!AC21,'원번표(수정불가)'!AC21)=$BS$9,"","변경")</f>
        <v/>
      </c>
      <c r="AD21" s="73" t="str">
        <f>IF(EXACT('변경(260104_260131)'!AD21,'원번표(수정불가)'!AD21)=$BS$9,"","변경")</f>
        <v/>
      </c>
      <c r="AE21" s="197">
        <f t="shared" si="0"/>
        <v>0</v>
      </c>
      <c r="AF21" s="198">
        <f t="shared" si="19"/>
        <v>0</v>
      </c>
      <c r="AG21" s="104"/>
      <c r="AH21" s="105"/>
      <c r="AI21" s="106"/>
      <c r="AJ21" s="106"/>
      <c r="AK21" s="175">
        <f t="shared" si="1"/>
        <v>0</v>
      </c>
      <c r="AL21" s="38">
        <f t="shared" si="2"/>
        <v>0</v>
      </c>
      <c r="AM21" s="38">
        <f t="shared" si="3"/>
        <v>0</v>
      </c>
      <c r="AN21" s="38">
        <f t="shared" si="3"/>
        <v>0</v>
      </c>
      <c r="AO21" s="38">
        <f t="shared" si="4"/>
        <v>0</v>
      </c>
      <c r="AP21" s="38">
        <f t="shared" si="4"/>
        <v>0</v>
      </c>
      <c r="AQ21" s="38">
        <f t="shared" si="5"/>
        <v>0</v>
      </c>
      <c r="AR21" s="38">
        <f t="shared" si="5"/>
        <v>0</v>
      </c>
      <c r="AS21" s="144" t="s">
        <v>34</v>
      </c>
      <c r="AT21" s="17">
        <f t="shared" si="6"/>
        <v>0</v>
      </c>
      <c r="AU21" s="17">
        <f t="shared" si="7"/>
        <v>0</v>
      </c>
      <c r="AV21" s="17">
        <f t="shared" si="8"/>
        <v>0</v>
      </c>
      <c r="AW21" s="11">
        <f t="shared" si="9"/>
        <v>0</v>
      </c>
      <c r="AX21" s="11">
        <f t="shared" si="10"/>
        <v>0</v>
      </c>
      <c r="AY21" s="11">
        <f t="shared" si="11"/>
        <v>0</v>
      </c>
      <c r="AZ21" s="11">
        <f t="shared" si="12"/>
        <v>0</v>
      </c>
      <c r="BA21" s="11">
        <f t="shared" si="13"/>
        <v>0</v>
      </c>
      <c r="BB21" s="11">
        <f t="shared" si="14"/>
        <v>0</v>
      </c>
      <c r="BC21" s="11">
        <f t="shared" si="15"/>
        <v>0</v>
      </c>
      <c r="BD21" s="28">
        <f t="shared" si="16"/>
        <v>0</v>
      </c>
      <c r="BE21" s="29">
        <f t="shared" si="17"/>
        <v>0</v>
      </c>
      <c r="BF21" s="11">
        <f t="shared" si="18"/>
        <v>0</v>
      </c>
    </row>
    <row r="22" spans="1:58">
      <c r="A22" s="246" t="s">
        <v>35</v>
      </c>
      <c r="B22" s="63"/>
      <c r="C22" s="61" t="str">
        <f>IF(EXACT('변경(260104_260131)'!C22,'원번표(수정불가)'!C22)=$BS$9,"","변경")</f>
        <v/>
      </c>
      <c r="D22" s="32" t="str">
        <f>IF(EXACT('변경(260104_260131)'!D22,'원번표(수정불가)'!D22)=$BS$9,"","변경")</f>
        <v/>
      </c>
      <c r="E22" s="32" t="str">
        <f>IF(EXACT('변경(260104_260131)'!E22,'원번표(수정불가)'!E22)=$BS$9,"","변경")</f>
        <v/>
      </c>
      <c r="F22" s="32" t="str">
        <f>IF(EXACT('변경(260104_260131)'!F22,'원번표(수정불가)'!F22)=$BS$9,"","변경")</f>
        <v/>
      </c>
      <c r="G22" s="32" t="str">
        <f>IF(EXACT('변경(260104_260131)'!G22,'원번표(수정불가)'!G22)=$BS$9,"","변경")</f>
        <v/>
      </c>
      <c r="H22" s="32" t="str">
        <f>IF(EXACT('변경(260104_260131)'!H22,'원번표(수정불가)'!H22)=$BS$9,"","변경")</f>
        <v/>
      </c>
      <c r="I22" s="33" t="str">
        <f>IF(EXACT('변경(260104_260131)'!I22,'원번표(수정불가)'!I22)=$BS$9,"","변경")</f>
        <v/>
      </c>
      <c r="J22" s="61" t="str">
        <f>IF(EXACT('변경(260104_260131)'!J22,'원번표(수정불가)'!J22)=$BS$9,"","변경")</f>
        <v/>
      </c>
      <c r="K22" s="32" t="str">
        <f>IF(EXACT('변경(260104_260131)'!K22,'원번표(수정불가)'!K22)=$BS$9,"","변경")</f>
        <v/>
      </c>
      <c r="L22" s="32" t="str">
        <f>IF(EXACT('변경(260104_260131)'!L22,'원번표(수정불가)'!L22)=$BS$9,"","변경")</f>
        <v/>
      </c>
      <c r="M22" s="32" t="str">
        <f>IF(EXACT('변경(260104_260131)'!M22,'원번표(수정불가)'!M22)=$BS$9,"","변경")</f>
        <v/>
      </c>
      <c r="N22" s="32" t="str">
        <f>IF(EXACT('변경(260104_260131)'!N22,'원번표(수정불가)'!N22)=$BS$9,"","변경")</f>
        <v/>
      </c>
      <c r="O22" s="32" t="str">
        <f>IF(EXACT('변경(260104_260131)'!O22,'원번표(수정불가)'!O22)=$BS$9,"","변경")</f>
        <v/>
      </c>
      <c r="P22" s="73" t="str">
        <f>IF(EXACT('변경(260104_260131)'!P22,'원번표(수정불가)'!P22)=$BS$9,"","변경")</f>
        <v/>
      </c>
      <c r="Q22" s="31" t="str">
        <f>IF(EXACT('변경(260104_260131)'!Q22,'원번표(수정불가)'!Q22)=$BS$9,"","변경")</f>
        <v/>
      </c>
      <c r="R22" s="32" t="str">
        <f>IF(EXACT('변경(260104_260131)'!R22,'원번표(수정불가)'!R22)=$BS$9,"","변경")</f>
        <v/>
      </c>
      <c r="S22" s="32" t="str">
        <f>IF(EXACT('변경(260104_260131)'!S22,'원번표(수정불가)'!S22)=$BS$9,"","변경")</f>
        <v/>
      </c>
      <c r="T22" s="32" t="str">
        <f>IF(EXACT('변경(260104_260131)'!T22,'원번표(수정불가)'!T22)=$BS$9,"","변경")</f>
        <v/>
      </c>
      <c r="U22" s="32" t="str">
        <f>IF(EXACT('변경(260104_260131)'!U22,'원번표(수정불가)'!U22)=$BS$9,"","변경")</f>
        <v/>
      </c>
      <c r="V22" s="32" t="str">
        <f>IF(EXACT('변경(260104_260131)'!V22,'원번표(수정불가)'!V22)=$BS$9,"","변경")</f>
        <v/>
      </c>
      <c r="W22" s="33" t="str">
        <f>IF(EXACT('변경(260104_260131)'!W22,'원번표(수정불가)'!W22)=$BS$9,"","변경")</f>
        <v/>
      </c>
      <c r="X22" s="61" t="str">
        <f>IF(EXACT('변경(260104_260131)'!X22,'원번표(수정불가)'!X22)=$BS$9,"","변경")</f>
        <v/>
      </c>
      <c r="Y22" s="32" t="str">
        <f>IF(EXACT('변경(260104_260131)'!Y22,'원번표(수정불가)'!Y22)=$BS$9,"","변경")</f>
        <v/>
      </c>
      <c r="Z22" s="32" t="str">
        <f>IF(EXACT('변경(260104_260131)'!Z22,'원번표(수정불가)'!Z22)=$BS$9,"","변경")</f>
        <v/>
      </c>
      <c r="AA22" s="32" t="str">
        <f>IF(EXACT('변경(260104_260131)'!AA22,'원번표(수정불가)'!AA22)=$BS$9,"","변경")</f>
        <v/>
      </c>
      <c r="AB22" s="32" t="str">
        <f>IF(EXACT('변경(260104_260131)'!AB22,'원번표(수정불가)'!AB22)=$BS$9,"","변경")</f>
        <v/>
      </c>
      <c r="AC22" s="32" t="str">
        <f>IF(EXACT('변경(260104_260131)'!AC22,'원번표(수정불가)'!AC22)=$BS$9,"","변경")</f>
        <v/>
      </c>
      <c r="AD22" s="73" t="str">
        <f>IF(EXACT('변경(260104_260131)'!AD22,'원번표(수정불가)'!AD22)=$BS$9,"","변경")</f>
        <v/>
      </c>
      <c r="AE22" s="197">
        <f t="shared" si="0"/>
        <v>0</v>
      </c>
      <c r="AF22" s="198">
        <f>COUNTIF(C22:AD22,"N")</f>
        <v>0</v>
      </c>
      <c r="AG22" s="104"/>
      <c r="AH22" s="105"/>
      <c r="AI22" s="106"/>
      <c r="AJ22" s="106"/>
      <c r="AK22" s="175">
        <f t="shared" si="1"/>
        <v>0</v>
      </c>
      <c r="AL22" s="38">
        <f t="shared" si="2"/>
        <v>0</v>
      </c>
      <c r="AM22" s="38">
        <f t="shared" si="3"/>
        <v>0</v>
      </c>
      <c r="AN22" s="38">
        <f t="shared" si="3"/>
        <v>0</v>
      </c>
      <c r="AO22" s="38">
        <f t="shared" si="4"/>
        <v>0</v>
      </c>
      <c r="AP22" s="38">
        <f t="shared" si="4"/>
        <v>0</v>
      </c>
      <c r="AQ22" s="38">
        <f t="shared" si="5"/>
        <v>0</v>
      </c>
      <c r="AR22" s="38">
        <f t="shared" si="5"/>
        <v>0</v>
      </c>
      <c r="AS22" s="246" t="s">
        <v>35</v>
      </c>
      <c r="AT22" s="17">
        <f t="shared" si="6"/>
        <v>0</v>
      </c>
      <c r="AU22" s="17">
        <f t="shared" si="7"/>
        <v>0</v>
      </c>
      <c r="AV22" s="17">
        <f t="shared" si="8"/>
        <v>0</v>
      </c>
      <c r="AW22" s="11">
        <f t="shared" si="9"/>
        <v>0</v>
      </c>
      <c r="AX22" s="11">
        <f t="shared" si="10"/>
        <v>0</v>
      </c>
      <c r="AY22" s="11">
        <f t="shared" si="11"/>
        <v>0</v>
      </c>
      <c r="AZ22" s="11">
        <f t="shared" si="12"/>
        <v>0</v>
      </c>
      <c r="BA22" s="11">
        <f t="shared" si="13"/>
        <v>0</v>
      </c>
      <c r="BB22" s="11">
        <f t="shared" si="14"/>
        <v>0</v>
      </c>
      <c r="BC22" s="11">
        <f t="shared" si="15"/>
        <v>0</v>
      </c>
      <c r="BD22" s="28">
        <f t="shared" si="16"/>
        <v>0</v>
      </c>
      <c r="BE22" s="29">
        <f t="shared" si="17"/>
        <v>0</v>
      </c>
      <c r="BF22" s="11">
        <f t="shared" si="18"/>
        <v>0</v>
      </c>
    </row>
    <row r="23" spans="1:58">
      <c r="A23" s="144" t="s">
        <v>72</v>
      </c>
      <c r="B23" s="62"/>
      <c r="C23" s="61" t="str">
        <f>IF(EXACT('변경(260104_260131)'!C23,'원번표(수정불가)'!C23)=$BS$9,"","변경")</f>
        <v/>
      </c>
      <c r="D23" s="32" t="str">
        <f>IF(EXACT('변경(260104_260131)'!D23,'원번표(수정불가)'!D23)=$BS$9,"","변경")</f>
        <v/>
      </c>
      <c r="E23" s="32" t="str">
        <f>IF(EXACT('변경(260104_260131)'!E23,'원번표(수정불가)'!E23)=$BS$9,"","변경")</f>
        <v/>
      </c>
      <c r="F23" s="32" t="str">
        <f>IF(EXACT('변경(260104_260131)'!F23,'원번표(수정불가)'!F23)=$BS$9,"","변경")</f>
        <v/>
      </c>
      <c r="G23" s="32" t="str">
        <f>IF(EXACT('변경(260104_260131)'!G23,'원번표(수정불가)'!G23)=$BS$9,"","변경")</f>
        <v/>
      </c>
      <c r="H23" s="32" t="str">
        <f>IF(EXACT('변경(260104_260131)'!H23,'원번표(수정불가)'!H23)=$BS$9,"","변경")</f>
        <v/>
      </c>
      <c r="I23" s="33" t="str">
        <f>IF(EXACT('변경(260104_260131)'!I23,'원번표(수정불가)'!I23)=$BS$9,"","변경")</f>
        <v/>
      </c>
      <c r="J23" s="61" t="str">
        <f>IF(EXACT('변경(260104_260131)'!J23,'원번표(수정불가)'!J23)=$BS$9,"","변경")</f>
        <v/>
      </c>
      <c r="K23" s="32" t="str">
        <f>IF(EXACT('변경(260104_260131)'!K23,'원번표(수정불가)'!K23)=$BS$9,"","변경")</f>
        <v/>
      </c>
      <c r="L23" s="32" t="str">
        <f>IF(EXACT('변경(260104_260131)'!L23,'원번표(수정불가)'!L23)=$BS$9,"","변경")</f>
        <v/>
      </c>
      <c r="M23" s="32" t="str">
        <f>IF(EXACT('변경(260104_260131)'!M23,'원번표(수정불가)'!M23)=$BS$9,"","변경")</f>
        <v/>
      </c>
      <c r="N23" s="32" t="str">
        <f>IF(EXACT('변경(260104_260131)'!N23,'원번표(수정불가)'!N23)=$BS$9,"","변경")</f>
        <v/>
      </c>
      <c r="O23" s="32" t="str">
        <f>IF(EXACT('변경(260104_260131)'!O23,'원번표(수정불가)'!O23)=$BS$9,"","변경")</f>
        <v/>
      </c>
      <c r="P23" s="73" t="str">
        <f>IF(EXACT('변경(260104_260131)'!P23,'원번표(수정불가)'!P23)=$BS$9,"","변경")</f>
        <v/>
      </c>
      <c r="Q23" s="31" t="str">
        <f>IF(EXACT('변경(260104_260131)'!Q23,'원번표(수정불가)'!Q23)=$BS$9,"","변경")</f>
        <v/>
      </c>
      <c r="R23" s="32" t="str">
        <f>IF(EXACT('변경(260104_260131)'!R23,'원번표(수정불가)'!R23)=$BS$9,"","변경")</f>
        <v/>
      </c>
      <c r="S23" s="32" t="str">
        <f>IF(EXACT('변경(260104_260131)'!S23,'원번표(수정불가)'!S23)=$BS$9,"","변경")</f>
        <v/>
      </c>
      <c r="T23" s="32" t="str">
        <f>IF(EXACT('변경(260104_260131)'!T23,'원번표(수정불가)'!T23)=$BS$9,"","변경")</f>
        <v/>
      </c>
      <c r="U23" s="32" t="str">
        <f>IF(EXACT('변경(260104_260131)'!U23,'원번표(수정불가)'!U23)=$BS$9,"","변경")</f>
        <v/>
      </c>
      <c r="V23" s="32" t="str">
        <f>IF(EXACT('변경(260104_260131)'!V23,'원번표(수정불가)'!V23)=$BS$9,"","변경")</f>
        <v/>
      </c>
      <c r="W23" s="33" t="str">
        <f>IF(EXACT('변경(260104_260131)'!W23,'원번표(수정불가)'!W23)=$BS$9,"","변경")</f>
        <v/>
      </c>
      <c r="X23" s="61" t="str">
        <f>IF(EXACT('변경(260104_260131)'!X23,'원번표(수정불가)'!X23)=$BS$9,"","변경")</f>
        <v/>
      </c>
      <c r="Y23" s="32" t="str">
        <f>IF(EXACT('변경(260104_260131)'!Y23,'원번표(수정불가)'!Y23)=$BS$9,"","변경")</f>
        <v/>
      </c>
      <c r="Z23" s="32" t="str">
        <f>IF(EXACT('변경(260104_260131)'!Z23,'원번표(수정불가)'!Z23)=$BS$9,"","변경")</f>
        <v/>
      </c>
      <c r="AA23" s="32" t="str">
        <f>IF(EXACT('변경(260104_260131)'!AA23,'원번표(수정불가)'!AA23)=$BS$9,"","변경")</f>
        <v/>
      </c>
      <c r="AB23" s="32" t="str">
        <f>IF(EXACT('변경(260104_260131)'!AB23,'원번표(수정불가)'!AB23)=$BS$9,"","변경")</f>
        <v/>
      </c>
      <c r="AC23" s="32" t="str">
        <f>IF(EXACT('변경(260104_260131)'!AC23,'원번표(수정불가)'!AC23)=$BS$9,"","변경")</f>
        <v/>
      </c>
      <c r="AD23" s="73" t="str">
        <f>IF(EXACT('변경(260104_260131)'!AD23,'원번표(수정불가)'!AD23)=$BS$9,"","변경")</f>
        <v/>
      </c>
      <c r="AE23" s="197">
        <f t="shared" si="0"/>
        <v>0</v>
      </c>
      <c r="AF23" s="198">
        <f t="shared" si="19"/>
        <v>0</v>
      </c>
      <c r="AG23" s="104"/>
      <c r="AH23" s="105"/>
      <c r="AI23" s="106"/>
      <c r="AJ23" s="106"/>
      <c r="AK23" s="175">
        <f t="shared" si="1"/>
        <v>0</v>
      </c>
      <c r="AL23" s="38">
        <f t="shared" si="2"/>
        <v>0</v>
      </c>
      <c r="AM23" s="38">
        <f t="shared" si="3"/>
        <v>0</v>
      </c>
      <c r="AN23" s="38">
        <f t="shared" si="3"/>
        <v>0</v>
      </c>
      <c r="AO23" s="38">
        <f t="shared" si="4"/>
        <v>0</v>
      </c>
      <c r="AP23" s="38">
        <f t="shared" si="4"/>
        <v>0</v>
      </c>
      <c r="AQ23" s="38">
        <f t="shared" si="5"/>
        <v>0</v>
      </c>
      <c r="AR23" s="38">
        <f t="shared" si="5"/>
        <v>0</v>
      </c>
      <c r="AS23" s="144" t="s">
        <v>72</v>
      </c>
      <c r="AT23" s="17">
        <f t="shared" si="6"/>
        <v>0</v>
      </c>
      <c r="AU23" s="17">
        <f t="shared" si="7"/>
        <v>0</v>
      </c>
      <c r="AV23" s="17">
        <f t="shared" si="8"/>
        <v>0</v>
      </c>
      <c r="AW23" s="11">
        <f t="shared" si="9"/>
        <v>0</v>
      </c>
      <c r="AX23" s="11">
        <f t="shared" si="10"/>
        <v>0</v>
      </c>
      <c r="AY23" s="11">
        <f t="shared" si="11"/>
        <v>0</v>
      </c>
      <c r="AZ23" s="11">
        <f t="shared" si="12"/>
        <v>0</v>
      </c>
      <c r="BA23" s="11">
        <f t="shared" si="13"/>
        <v>0</v>
      </c>
      <c r="BB23" s="11">
        <f t="shared" si="14"/>
        <v>0</v>
      </c>
      <c r="BC23" s="11">
        <f t="shared" si="15"/>
        <v>0</v>
      </c>
      <c r="BD23" s="28">
        <f t="shared" si="16"/>
        <v>0</v>
      </c>
      <c r="BE23" s="29">
        <f t="shared" si="17"/>
        <v>0</v>
      </c>
      <c r="BF23" s="11">
        <f t="shared" si="18"/>
        <v>0</v>
      </c>
    </row>
    <row r="24" spans="1:58">
      <c r="A24" s="144" t="s">
        <v>73</v>
      </c>
      <c r="B24" s="62"/>
      <c r="C24" s="61" t="str">
        <f>IF(EXACT('변경(260104_260131)'!C24,'원번표(수정불가)'!C24)=$BS$9,"","변경")</f>
        <v/>
      </c>
      <c r="D24" s="32" t="str">
        <f>IF(EXACT('변경(260104_260131)'!D24,'원번표(수정불가)'!D24)=$BS$9,"","변경")</f>
        <v/>
      </c>
      <c r="E24" s="32" t="str">
        <f>IF(EXACT('변경(260104_260131)'!E24,'원번표(수정불가)'!E24)=$BS$9,"","변경")</f>
        <v/>
      </c>
      <c r="F24" s="32" t="str">
        <f>IF(EXACT('변경(260104_260131)'!F24,'원번표(수정불가)'!F24)=$BS$9,"","변경")</f>
        <v/>
      </c>
      <c r="G24" s="32" t="str">
        <f>IF(EXACT('변경(260104_260131)'!G24,'원번표(수정불가)'!G24)=$BS$9,"","변경")</f>
        <v/>
      </c>
      <c r="H24" s="32" t="str">
        <f>IF(EXACT('변경(260104_260131)'!H24,'원번표(수정불가)'!H24)=$BS$9,"","변경")</f>
        <v/>
      </c>
      <c r="I24" s="33" t="str">
        <f>IF(EXACT('변경(260104_260131)'!I24,'원번표(수정불가)'!I24)=$BS$9,"","변경")</f>
        <v/>
      </c>
      <c r="J24" s="61" t="str">
        <f>IF(EXACT('변경(260104_260131)'!J24,'원번표(수정불가)'!J24)=$BS$9,"","변경")</f>
        <v/>
      </c>
      <c r="K24" s="32" t="str">
        <f>IF(EXACT('변경(260104_260131)'!K24,'원번표(수정불가)'!K24)=$BS$9,"","변경")</f>
        <v/>
      </c>
      <c r="L24" s="32" t="str">
        <f>IF(EXACT('변경(260104_260131)'!L24,'원번표(수정불가)'!L24)=$BS$9,"","변경")</f>
        <v/>
      </c>
      <c r="M24" s="32" t="str">
        <f>IF(EXACT('변경(260104_260131)'!M24,'원번표(수정불가)'!M24)=$BS$9,"","변경")</f>
        <v/>
      </c>
      <c r="N24" s="32" t="str">
        <f>IF(EXACT('변경(260104_260131)'!N24,'원번표(수정불가)'!N24)=$BS$9,"","변경")</f>
        <v/>
      </c>
      <c r="O24" s="32" t="str">
        <f>IF(EXACT('변경(260104_260131)'!O24,'원번표(수정불가)'!O24)=$BS$9,"","변경")</f>
        <v/>
      </c>
      <c r="P24" s="73" t="str">
        <f>IF(EXACT('변경(260104_260131)'!P24,'원번표(수정불가)'!P24)=$BS$9,"","변경")</f>
        <v/>
      </c>
      <c r="Q24" s="31" t="str">
        <f>IF(EXACT('변경(260104_260131)'!Q24,'원번표(수정불가)'!Q24)=$BS$9,"","변경")</f>
        <v/>
      </c>
      <c r="R24" s="32" t="str">
        <f>IF(EXACT('변경(260104_260131)'!R24,'원번표(수정불가)'!R24)=$BS$9,"","변경")</f>
        <v/>
      </c>
      <c r="S24" s="32" t="str">
        <f>IF(EXACT('변경(260104_260131)'!S24,'원번표(수정불가)'!S24)=$BS$9,"","변경")</f>
        <v/>
      </c>
      <c r="T24" s="32" t="str">
        <f>IF(EXACT('변경(260104_260131)'!T24,'원번표(수정불가)'!T24)=$BS$9,"","변경")</f>
        <v/>
      </c>
      <c r="U24" s="32" t="str">
        <f>IF(EXACT('변경(260104_260131)'!U24,'원번표(수정불가)'!U24)=$BS$9,"","변경")</f>
        <v/>
      </c>
      <c r="V24" s="32" t="str">
        <f>IF(EXACT('변경(260104_260131)'!V24,'원번표(수정불가)'!V24)=$BS$9,"","변경")</f>
        <v/>
      </c>
      <c r="W24" s="33" t="str">
        <f>IF(EXACT('변경(260104_260131)'!W24,'원번표(수정불가)'!W24)=$BS$9,"","변경")</f>
        <v/>
      </c>
      <c r="X24" s="61" t="str">
        <f>IF(EXACT('변경(260104_260131)'!X24,'원번표(수정불가)'!X24)=$BS$9,"","변경")</f>
        <v/>
      </c>
      <c r="Y24" s="32" t="str">
        <f>IF(EXACT('변경(260104_260131)'!Y24,'원번표(수정불가)'!Y24)=$BS$9,"","변경")</f>
        <v/>
      </c>
      <c r="Z24" s="32" t="str">
        <f>IF(EXACT('변경(260104_260131)'!Z24,'원번표(수정불가)'!Z24)=$BS$9,"","변경")</f>
        <v/>
      </c>
      <c r="AA24" s="32" t="str">
        <f>IF(EXACT('변경(260104_260131)'!AA24,'원번표(수정불가)'!AA24)=$BS$9,"","변경")</f>
        <v/>
      </c>
      <c r="AB24" s="32" t="str">
        <f>IF(EXACT('변경(260104_260131)'!AB24,'원번표(수정불가)'!AB24)=$BS$9,"","변경")</f>
        <v/>
      </c>
      <c r="AC24" s="32" t="str">
        <f>IF(EXACT('변경(260104_260131)'!AC24,'원번표(수정불가)'!AC24)=$BS$9,"","변경")</f>
        <v/>
      </c>
      <c r="AD24" s="73" t="str">
        <f>IF(EXACT('변경(260104_260131)'!AD24,'원번표(수정불가)'!AD24)=$BS$9,"","변경")</f>
        <v/>
      </c>
      <c r="AE24" s="197">
        <f t="shared" si="0"/>
        <v>0</v>
      </c>
      <c r="AF24" s="198">
        <f t="shared" si="19"/>
        <v>0</v>
      </c>
      <c r="AG24" s="104"/>
      <c r="AH24" s="105"/>
      <c r="AI24" s="106"/>
      <c r="AJ24" s="106"/>
      <c r="AK24" s="175">
        <f t="shared" si="1"/>
        <v>0</v>
      </c>
      <c r="AL24" s="38">
        <f t="shared" si="2"/>
        <v>0</v>
      </c>
      <c r="AM24" s="38">
        <f t="shared" ref="AM24:AN38" si="20">COUNTIF($J24:$P24,AM$6)</f>
        <v>0</v>
      </c>
      <c r="AN24" s="38">
        <f t="shared" si="20"/>
        <v>0</v>
      </c>
      <c r="AO24" s="38">
        <f t="shared" ref="AO24:AP38" si="21">COUNTIF($Q24:$W24,AO$6)</f>
        <v>0</v>
      </c>
      <c r="AP24" s="38">
        <f t="shared" si="21"/>
        <v>0</v>
      </c>
      <c r="AQ24" s="38">
        <f t="shared" ref="AQ24:AR38" si="22">COUNTIF($X24:$AD24,AQ$6)</f>
        <v>0</v>
      </c>
      <c r="AR24" s="38">
        <f t="shared" si="22"/>
        <v>0</v>
      </c>
      <c r="AS24" s="144" t="s">
        <v>73</v>
      </c>
      <c r="AT24" s="17">
        <f t="shared" si="6"/>
        <v>0</v>
      </c>
      <c r="AU24" s="17">
        <f t="shared" si="7"/>
        <v>0</v>
      </c>
      <c r="AV24" s="17">
        <f t="shared" si="8"/>
        <v>0</v>
      </c>
      <c r="AW24" s="11">
        <f t="shared" si="9"/>
        <v>0</v>
      </c>
      <c r="AX24" s="11">
        <f t="shared" si="10"/>
        <v>0</v>
      </c>
      <c r="AY24" s="11">
        <f t="shared" si="11"/>
        <v>0</v>
      </c>
      <c r="AZ24" s="11">
        <f t="shared" si="12"/>
        <v>0</v>
      </c>
      <c r="BA24" s="11">
        <f t="shared" si="13"/>
        <v>0</v>
      </c>
      <c r="BB24" s="11">
        <f t="shared" si="14"/>
        <v>0</v>
      </c>
      <c r="BC24" s="11">
        <f t="shared" si="15"/>
        <v>0</v>
      </c>
      <c r="BD24" s="28">
        <f t="shared" si="16"/>
        <v>0</v>
      </c>
      <c r="BE24" s="29">
        <f t="shared" si="17"/>
        <v>0</v>
      </c>
      <c r="BF24" s="11">
        <f t="shared" si="18"/>
        <v>0</v>
      </c>
    </row>
    <row r="25" spans="1:58">
      <c r="A25" s="144" t="s">
        <v>36</v>
      </c>
      <c r="B25" s="62"/>
      <c r="C25" s="61" t="str">
        <f>IF(EXACT('변경(260104_260131)'!C25,'원번표(수정불가)'!C25)=$BS$9,"","변경")</f>
        <v/>
      </c>
      <c r="D25" s="32" t="str">
        <f>IF(EXACT('변경(260104_260131)'!D25,'원번표(수정불가)'!D25)=$BS$9,"","변경")</f>
        <v/>
      </c>
      <c r="E25" s="32" t="str">
        <f>IF(EXACT('변경(260104_260131)'!E25,'원번표(수정불가)'!E25)=$BS$9,"","변경")</f>
        <v/>
      </c>
      <c r="F25" s="32" t="str">
        <f>IF(EXACT('변경(260104_260131)'!F25,'원번표(수정불가)'!F25)=$BS$9,"","변경")</f>
        <v/>
      </c>
      <c r="G25" s="32" t="str">
        <f>IF(EXACT('변경(260104_260131)'!G25,'원번표(수정불가)'!G25)=$BS$9,"","변경")</f>
        <v/>
      </c>
      <c r="H25" s="32" t="str">
        <f>IF(EXACT('변경(260104_260131)'!H25,'원번표(수정불가)'!H25)=$BS$9,"","변경")</f>
        <v/>
      </c>
      <c r="I25" s="33" t="str">
        <f>IF(EXACT('변경(260104_260131)'!I25,'원번표(수정불가)'!I25)=$BS$9,"","변경")</f>
        <v/>
      </c>
      <c r="J25" s="61" t="str">
        <f>IF(EXACT('변경(260104_260131)'!J25,'원번표(수정불가)'!J25)=$BS$9,"","변경")</f>
        <v/>
      </c>
      <c r="K25" s="32" t="str">
        <f>IF(EXACT('변경(260104_260131)'!K25,'원번표(수정불가)'!K25)=$BS$9,"","변경")</f>
        <v/>
      </c>
      <c r="L25" s="32" t="str">
        <f>IF(EXACT('변경(260104_260131)'!L25,'원번표(수정불가)'!L25)=$BS$9,"","변경")</f>
        <v/>
      </c>
      <c r="M25" s="32" t="str">
        <f>IF(EXACT('변경(260104_260131)'!M25,'원번표(수정불가)'!M25)=$BS$9,"","변경")</f>
        <v/>
      </c>
      <c r="N25" s="32" t="str">
        <f>IF(EXACT('변경(260104_260131)'!N25,'원번표(수정불가)'!N25)=$BS$9,"","변경")</f>
        <v/>
      </c>
      <c r="O25" s="32" t="str">
        <f>IF(EXACT('변경(260104_260131)'!O25,'원번표(수정불가)'!O25)=$BS$9,"","변경")</f>
        <v/>
      </c>
      <c r="P25" s="73" t="str">
        <f>IF(EXACT('변경(260104_260131)'!P25,'원번표(수정불가)'!P25)=$BS$9,"","변경")</f>
        <v/>
      </c>
      <c r="Q25" s="31" t="str">
        <f>IF(EXACT('변경(260104_260131)'!Q25,'원번표(수정불가)'!Q25)=$BS$9,"","변경")</f>
        <v/>
      </c>
      <c r="R25" s="32" t="str">
        <f>IF(EXACT('변경(260104_260131)'!R25,'원번표(수정불가)'!R25)=$BS$9,"","변경")</f>
        <v/>
      </c>
      <c r="S25" s="32" t="str">
        <f>IF(EXACT('변경(260104_260131)'!S25,'원번표(수정불가)'!S25)=$BS$9,"","변경")</f>
        <v/>
      </c>
      <c r="T25" s="32" t="str">
        <f>IF(EXACT('변경(260104_260131)'!T25,'원번표(수정불가)'!T25)=$BS$9,"","변경")</f>
        <v/>
      </c>
      <c r="U25" s="32" t="str">
        <f>IF(EXACT('변경(260104_260131)'!U25,'원번표(수정불가)'!U25)=$BS$9,"","변경")</f>
        <v/>
      </c>
      <c r="V25" s="32" t="str">
        <f>IF(EXACT('변경(260104_260131)'!V25,'원번표(수정불가)'!V25)=$BS$9,"","변경")</f>
        <v/>
      </c>
      <c r="W25" s="33" t="str">
        <f>IF(EXACT('변경(260104_260131)'!W25,'원번표(수정불가)'!W25)=$BS$9,"","변경")</f>
        <v/>
      </c>
      <c r="X25" s="61" t="str">
        <f>IF(EXACT('변경(260104_260131)'!X25,'원번표(수정불가)'!X25)=$BS$9,"","변경")</f>
        <v/>
      </c>
      <c r="Y25" s="32" t="str">
        <f>IF(EXACT('변경(260104_260131)'!Y25,'원번표(수정불가)'!Y25)=$BS$9,"","변경")</f>
        <v/>
      </c>
      <c r="Z25" s="32" t="str">
        <f>IF(EXACT('변경(260104_260131)'!Z25,'원번표(수정불가)'!Z25)=$BS$9,"","변경")</f>
        <v/>
      </c>
      <c r="AA25" s="32" t="str">
        <f>IF(EXACT('변경(260104_260131)'!AA25,'원번표(수정불가)'!AA25)=$BS$9,"","변경")</f>
        <v/>
      </c>
      <c r="AB25" s="32" t="str">
        <f>IF(EXACT('변경(260104_260131)'!AB25,'원번표(수정불가)'!AB25)=$BS$9,"","변경")</f>
        <v/>
      </c>
      <c r="AC25" s="32" t="str">
        <f>IF(EXACT('변경(260104_260131)'!AC25,'원번표(수정불가)'!AC25)=$BS$9,"","변경")</f>
        <v/>
      </c>
      <c r="AD25" s="73" t="str">
        <f>IF(EXACT('변경(260104_260131)'!AD25,'원번표(수정불가)'!AD25)=$BS$9,"","변경")</f>
        <v/>
      </c>
      <c r="AE25" s="199">
        <f t="shared" si="0"/>
        <v>0</v>
      </c>
      <c r="AF25" s="198">
        <f t="shared" si="19"/>
        <v>0</v>
      </c>
      <c r="AG25" s="104"/>
      <c r="AH25" s="105"/>
      <c r="AI25" s="106"/>
      <c r="AJ25" s="106"/>
      <c r="AK25" s="175">
        <f t="shared" si="1"/>
        <v>0</v>
      </c>
      <c r="AL25" s="38">
        <f t="shared" si="2"/>
        <v>0</v>
      </c>
      <c r="AM25" s="38">
        <f t="shared" si="20"/>
        <v>0</v>
      </c>
      <c r="AN25" s="38">
        <f t="shared" si="20"/>
        <v>0</v>
      </c>
      <c r="AO25" s="38">
        <f t="shared" si="21"/>
        <v>0</v>
      </c>
      <c r="AP25" s="38">
        <f t="shared" si="21"/>
        <v>0</v>
      </c>
      <c r="AQ25" s="38">
        <f t="shared" si="22"/>
        <v>0</v>
      </c>
      <c r="AR25" s="38">
        <f t="shared" si="22"/>
        <v>0</v>
      </c>
      <c r="AS25" s="144" t="s">
        <v>36</v>
      </c>
      <c r="AT25" s="17">
        <f t="shared" si="6"/>
        <v>0</v>
      </c>
      <c r="AU25" s="17">
        <f t="shared" si="7"/>
        <v>0</v>
      </c>
      <c r="AV25" s="17">
        <f t="shared" si="8"/>
        <v>0</v>
      </c>
      <c r="AW25" s="11">
        <f t="shared" si="9"/>
        <v>0</v>
      </c>
      <c r="AX25" s="11">
        <f t="shared" si="10"/>
        <v>0</v>
      </c>
      <c r="AY25" s="11">
        <f t="shared" si="11"/>
        <v>0</v>
      </c>
      <c r="AZ25" s="11">
        <f t="shared" si="12"/>
        <v>0</v>
      </c>
      <c r="BA25" s="11">
        <f t="shared" si="13"/>
        <v>0</v>
      </c>
      <c r="BB25" s="11">
        <f t="shared" si="14"/>
        <v>0</v>
      </c>
      <c r="BC25" s="11">
        <f t="shared" si="15"/>
        <v>0</v>
      </c>
      <c r="BD25" s="28">
        <f t="shared" si="16"/>
        <v>0</v>
      </c>
      <c r="BE25" s="29">
        <f t="shared" si="17"/>
        <v>0</v>
      </c>
      <c r="BF25" s="11">
        <f t="shared" si="18"/>
        <v>0</v>
      </c>
    </row>
    <row r="26" spans="1:58">
      <c r="A26" s="63" t="s">
        <v>37</v>
      </c>
      <c r="B26" s="63"/>
      <c r="C26" s="61" t="str">
        <f>IF(EXACT('변경(260104_260131)'!C26,'원번표(수정불가)'!C26)=$BS$9,"","변경")</f>
        <v/>
      </c>
      <c r="D26" s="32" t="str">
        <f>IF(EXACT('변경(260104_260131)'!D26,'원번표(수정불가)'!D26)=$BS$9,"","변경")</f>
        <v/>
      </c>
      <c r="E26" s="32" t="str">
        <f>IF(EXACT('변경(260104_260131)'!E26,'원번표(수정불가)'!E26)=$BS$9,"","변경")</f>
        <v/>
      </c>
      <c r="F26" s="32" t="str">
        <f>IF(EXACT('변경(260104_260131)'!F26,'원번표(수정불가)'!F26)=$BS$9,"","변경")</f>
        <v/>
      </c>
      <c r="G26" s="32" t="str">
        <f>IF(EXACT('변경(260104_260131)'!G26,'원번표(수정불가)'!G26)=$BS$9,"","변경")</f>
        <v/>
      </c>
      <c r="H26" s="32" t="str">
        <f>IF(EXACT('변경(260104_260131)'!H26,'원번표(수정불가)'!H26)=$BS$9,"","변경")</f>
        <v/>
      </c>
      <c r="I26" s="33" t="str">
        <f>IF(EXACT('변경(260104_260131)'!I26,'원번표(수정불가)'!I26)=$BS$9,"","변경")</f>
        <v/>
      </c>
      <c r="J26" s="61" t="str">
        <f>IF(EXACT('변경(260104_260131)'!J26,'원번표(수정불가)'!J26)=$BS$9,"","변경")</f>
        <v/>
      </c>
      <c r="K26" s="32" t="str">
        <f>IF(EXACT('변경(260104_260131)'!K26,'원번표(수정불가)'!K26)=$BS$9,"","변경")</f>
        <v/>
      </c>
      <c r="L26" s="32" t="str">
        <f>IF(EXACT('변경(260104_260131)'!L26,'원번표(수정불가)'!L26)=$BS$9,"","변경")</f>
        <v/>
      </c>
      <c r="M26" s="32" t="str">
        <f>IF(EXACT('변경(260104_260131)'!M26,'원번표(수정불가)'!M26)=$BS$9,"","변경")</f>
        <v/>
      </c>
      <c r="N26" s="32" t="str">
        <f>IF(EXACT('변경(260104_260131)'!N26,'원번표(수정불가)'!N26)=$BS$9,"","변경")</f>
        <v/>
      </c>
      <c r="O26" s="32" t="str">
        <f>IF(EXACT('변경(260104_260131)'!O26,'원번표(수정불가)'!O26)=$BS$9,"","변경")</f>
        <v/>
      </c>
      <c r="P26" s="73" t="str">
        <f>IF(EXACT('변경(260104_260131)'!P26,'원번표(수정불가)'!P26)=$BS$9,"","변경")</f>
        <v/>
      </c>
      <c r="Q26" s="31" t="str">
        <f>IF(EXACT('변경(260104_260131)'!Q26,'원번표(수정불가)'!Q26)=$BS$9,"","변경")</f>
        <v/>
      </c>
      <c r="R26" s="32" t="str">
        <f>IF(EXACT('변경(260104_260131)'!R26,'원번표(수정불가)'!R26)=$BS$9,"","변경")</f>
        <v/>
      </c>
      <c r="S26" s="32" t="str">
        <f>IF(EXACT('변경(260104_260131)'!S26,'원번표(수정불가)'!S26)=$BS$9,"","변경")</f>
        <v/>
      </c>
      <c r="T26" s="32" t="str">
        <f>IF(EXACT('변경(260104_260131)'!T26,'원번표(수정불가)'!T26)=$BS$9,"","변경")</f>
        <v/>
      </c>
      <c r="U26" s="32" t="str">
        <f>IF(EXACT('변경(260104_260131)'!U26,'원번표(수정불가)'!U26)=$BS$9,"","변경")</f>
        <v/>
      </c>
      <c r="V26" s="32" t="str">
        <f>IF(EXACT('변경(260104_260131)'!V26,'원번표(수정불가)'!V26)=$BS$9,"","변경")</f>
        <v/>
      </c>
      <c r="W26" s="33" t="str">
        <f>IF(EXACT('변경(260104_260131)'!W26,'원번표(수정불가)'!W26)=$BS$9,"","변경")</f>
        <v/>
      </c>
      <c r="X26" s="61" t="str">
        <f>IF(EXACT('변경(260104_260131)'!X26,'원번표(수정불가)'!X26)=$BS$9,"","변경")</f>
        <v/>
      </c>
      <c r="Y26" s="32" t="str">
        <f>IF(EXACT('변경(260104_260131)'!Y26,'원번표(수정불가)'!Y26)=$BS$9,"","변경")</f>
        <v/>
      </c>
      <c r="Z26" s="32" t="str">
        <f>IF(EXACT('변경(260104_260131)'!Z26,'원번표(수정불가)'!Z26)=$BS$9,"","변경")</f>
        <v/>
      </c>
      <c r="AA26" s="32" t="str">
        <f>IF(EXACT('변경(260104_260131)'!AA26,'원번표(수정불가)'!AA26)=$BS$9,"","변경")</f>
        <v/>
      </c>
      <c r="AB26" s="32" t="str">
        <f>IF(EXACT('변경(260104_260131)'!AB26,'원번표(수정불가)'!AB26)=$BS$9,"","변경")</f>
        <v/>
      </c>
      <c r="AC26" s="32" t="str">
        <f>IF(EXACT('변경(260104_260131)'!AC26,'원번표(수정불가)'!AC26)=$BS$9,"","변경")</f>
        <v/>
      </c>
      <c r="AD26" s="73" t="str">
        <f>IF(EXACT('변경(260104_260131)'!AD26,'원번표(수정불가)'!AD26)=$BS$9,"","변경")</f>
        <v/>
      </c>
      <c r="AE26" s="199">
        <f t="shared" si="0"/>
        <v>0</v>
      </c>
      <c r="AF26" s="198">
        <f t="shared" si="19"/>
        <v>0</v>
      </c>
      <c r="AG26" s="104"/>
      <c r="AH26" s="105"/>
      <c r="AI26" s="106"/>
      <c r="AJ26" s="106"/>
      <c r="AK26" s="175">
        <f t="shared" si="1"/>
        <v>0</v>
      </c>
      <c r="AL26" s="38">
        <f t="shared" si="2"/>
        <v>0</v>
      </c>
      <c r="AM26" s="38">
        <f t="shared" si="20"/>
        <v>0</v>
      </c>
      <c r="AN26" s="38">
        <f t="shared" si="20"/>
        <v>0</v>
      </c>
      <c r="AO26" s="38">
        <f t="shared" si="21"/>
        <v>0</v>
      </c>
      <c r="AP26" s="38">
        <f t="shared" si="21"/>
        <v>0</v>
      </c>
      <c r="AQ26" s="38">
        <f t="shared" si="22"/>
        <v>0</v>
      </c>
      <c r="AR26" s="38">
        <f t="shared" si="22"/>
        <v>0</v>
      </c>
      <c r="AS26" s="63" t="s">
        <v>37</v>
      </c>
      <c r="AT26" s="17">
        <f t="shared" si="6"/>
        <v>0</v>
      </c>
      <c r="AU26" s="17">
        <f t="shared" si="7"/>
        <v>0</v>
      </c>
      <c r="AV26" s="17">
        <f t="shared" si="8"/>
        <v>0</v>
      </c>
      <c r="AW26" s="11">
        <f t="shared" si="9"/>
        <v>0</v>
      </c>
      <c r="AX26" s="11">
        <f t="shared" si="10"/>
        <v>0</v>
      </c>
      <c r="AY26" s="11">
        <f t="shared" si="11"/>
        <v>0</v>
      </c>
      <c r="AZ26" s="11">
        <f t="shared" si="12"/>
        <v>0</v>
      </c>
      <c r="BA26" s="11">
        <f t="shared" si="13"/>
        <v>0</v>
      </c>
      <c r="BB26" s="11">
        <f t="shared" si="14"/>
        <v>0</v>
      </c>
      <c r="BC26" s="11">
        <f t="shared" si="15"/>
        <v>0</v>
      </c>
      <c r="BD26" s="28">
        <f t="shared" si="16"/>
        <v>0</v>
      </c>
      <c r="BE26" s="29">
        <f t="shared" si="17"/>
        <v>0</v>
      </c>
      <c r="BF26" s="11">
        <f t="shared" si="18"/>
        <v>0</v>
      </c>
    </row>
    <row r="27" spans="1:58">
      <c r="A27" s="63" t="s">
        <v>74</v>
      </c>
      <c r="B27" s="63"/>
      <c r="C27" s="61" t="str">
        <f>IF(EXACT('변경(260104_260131)'!C27,'원번표(수정불가)'!C27)=$BS$9,"","변경")</f>
        <v/>
      </c>
      <c r="D27" s="32" t="str">
        <f>IF(EXACT('변경(260104_260131)'!D27,'원번표(수정불가)'!D27)=$BS$9,"","변경")</f>
        <v/>
      </c>
      <c r="E27" s="32" t="str">
        <f>IF(EXACT('변경(260104_260131)'!E27,'원번표(수정불가)'!E27)=$BS$9,"","변경")</f>
        <v/>
      </c>
      <c r="F27" s="32" t="str">
        <f>IF(EXACT('변경(260104_260131)'!F27,'원번표(수정불가)'!F27)=$BS$9,"","변경")</f>
        <v/>
      </c>
      <c r="G27" s="32" t="str">
        <f>IF(EXACT('변경(260104_260131)'!G27,'원번표(수정불가)'!G27)=$BS$9,"","변경")</f>
        <v/>
      </c>
      <c r="H27" s="32" t="str">
        <f>IF(EXACT('변경(260104_260131)'!H27,'원번표(수정불가)'!H27)=$BS$9,"","변경")</f>
        <v/>
      </c>
      <c r="I27" s="33" t="str">
        <f>IF(EXACT('변경(260104_260131)'!I27,'원번표(수정불가)'!I27)=$BS$9,"","변경")</f>
        <v/>
      </c>
      <c r="J27" s="61" t="str">
        <f>IF(EXACT('변경(260104_260131)'!J27,'원번표(수정불가)'!J27)=$BS$9,"","변경")</f>
        <v/>
      </c>
      <c r="K27" s="32" t="str">
        <f>IF(EXACT('변경(260104_260131)'!K27,'원번표(수정불가)'!K27)=$BS$9,"","변경")</f>
        <v/>
      </c>
      <c r="L27" s="32" t="str">
        <f>IF(EXACT('변경(260104_260131)'!L27,'원번표(수정불가)'!L27)=$BS$9,"","변경")</f>
        <v/>
      </c>
      <c r="M27" s="32" t="str">
        <f>IF(EXACT('변경(260104_260131)'!M27,'원번표(수정불가)'!M27)=$BS$9,"","변경")</f>
        <v/>
      </c>
      <c r="N27" s="32" t="str">
        <f>IF(EXACT('변경(260104_260131)'!N27,'원번표(수정불가)'!N27)=$BS$9,"","변경")</f>
        <v/>
      </c>
      <c r="O27" s="32" t="str">
        <f>IF(EXACT('변경(260104_260131)'!O27,'원번표(수정불가)'!O27)=$BS$9,"","변경")</f>
        <v/>
      </c>
      <c r="P27" s="73" t="str">
        <f>IF(EXACT('변경(260104_260131)'!P27,'원번표(수정불가)'!P27)=$BS$9,"","변경")</f>
        <v/>
      </c>
      <c r="Q27" s="31" t="str">
        <f>IF(EXACT('변경(260104_260131)'!Q27,'원번표(수정불가)'!Q27)=$BS$9,"","변경")</f>
        <v/>
      </c>
      <c r="R27" s="32" t="str">
        <f>IF(EXACT('변경(260104_260131)'!R27,'원번표(수정불가)'!R27)=$BS$9,"","변경")</f>
        <v/>
      </c>
      <c r="S27" s="32" t="str">
        <f>IF(EXACT('변경(260104_260131)'!S27,'원번표(수정불가)'!S27)=$BS$9,"","변경")</f>
        <v/>
      </c>
      <c r="T27" s="32" t="str">
        <f>IF(EXACT('변경(260104_260131)'!T27,'원번표(수정불가)'!T27)=$BS$9,"","변경")</f>
        <v/>
      </c>
      <c r="U27" s="32" t="str">
        <f>IF(EXACT('변경(260104_260131)'!U27,'원번표(수정불가)'!U27)=$BS$9,"","변경")</f>
        <v/>
      </c>
      <c r="V27" s="32" t="str">
        <f>IF(EXACT('변경(260104_260131)'!V27,'원번표(수정불가)'!V27)=$BS$9,"","변경")</f>
        <v/>
      </c>
      <c r="W27" s="33" t="str">
        <f>IF(EXACT('변경(260104_260131)'!W27,'원번표(수정불가)'!W27)=$BS$9,"","변경")</f>
        <v/>
      </c>
      <c r="X27" s="61" t="str">
        <f>IF(EXACT('변경(260104_260131)'!X27,'원번표(수정불가)'!X27)=$BS$9,"","변경")</f>
        <v/>
      </c>
      <c r="Y27" s="32" t="str">
        <f>IF(EXACT('변경(260104_260131)'!Y27,'원번표(수정불가)'!Y27)=$BS$9,"","변경")</f>
        <v/>
      </c>
      <c r="Z27" s="32" t="str">
        <f>IF(EXACT('변경(260104_260131)'!Z27,'원번표(수정불가)'!Z27)=$BS$9,"","변경")</f>
        <v/>
      </c>
      <c r="AA27" s="32" t="str">
        <f>IF(EXACT('변경(260104_260131)'!AA27,'원번표(수정불가)'!AA27)=$BS$9,"","변경")</f>
        <v/>
      </c>
      <c r="AB27" s="32" t="str">
        <f>IF(EXACT('변경(260104_260131)'!AB27,'원번표(수정불가)'!AB27)=$BS$9,"","변경")</f>
        <v/>
      </c>
      <c r="AC27" s="32" t="str">
        <f>IF(EXACT('변경(260104_260131)'!AC27,'원번표(수정불가)'!AC27)=$BS$9,"","변경")</f>
        <v/>
      </c>
      <c r="AD27" s="73" t="str">
        <f>IF(EXACT('변경(260104_260131)'!AD27,'원번표(수정불가)'!AD27)=$BS$9,"","변경")</f>
        <v/>
      </c>
      <c r="AE27" s="199">
        <f t="shared" si="0"/>
        <v>0</v>
      </c>
      <c r="AF27" s="198">
        <f t="shared" si="19"/>
        <v>0</v>
      </c>
      <c r="AG27" s="104"/>
      <c r="AH27" s="105"/>
      <c r="AI27" s="106"/>
      <c r="AJ27" s="106"/>
      <c r="AK27" s="175">
        <f t="shared" si="1"/>
        <v>0</v>
      </c>
      <c r="AL27" s="38">
        <f t="shared" si="2"/>
        <v>0</v>
      </c>
      <c r="AM27" s="38">
        <f t="shared" si="20"/>
        <v>0</v>
      </c>
      <c r="AN27" s="38">
        <f t="shared" si="20"/>
        <v>0</v>
      </c>
      <c r="AO27" s="38">
        <f t="shared" si="21"/>
        <v>0</v>
      </c>
      <c r="AP27" s="38">
        <f t="shared" si="21"/>
        <v>0</v>
      </c>
      <c r="AQ27" s="38">
        <f t="shared" si="22"/>
        <v>0</v>
      </c>
      <c r="AR27" s="38">
        <f t="shared" si="22"/>
        <v>0</v>
      </c>
      <c r="AS27" s="63" t="s">
        <v>74</v>
      </c>
      <c r="AT27" s="17">
        <f t="shared" si="6"/>
        <v>0</v>
      </c>
      <c r="AU27" s="17">
        <f t="shared" si="7"/>
        <v>0</v>
      </c>
      <c r="AV27" s="17">
        <f t="shared" si="8"/>
        <v>0</v>
      </c>
      <c r="AW27" s="11">
        <f t="shared" si="9"/>
        <v>0</v>
      </c>
      <c r="AX27" s="11">
        <f t="shared" si="10"/>
        <v>0</v>
      </c>
      <c r="AY27" s="11">
        <f t="shared" si="11"/>
        <v>0</v>
      </c>
      <c r="AZ27" s="11">
        <f t="shared" si="12"/>
        <v>0</v>
      </c>
      <c r="BA27" s="11">
        <f t="shared" si="13"/>
        <v>0</v>
      </c>
      <c r="BB27" s="11">
        <f t="shared" si="14"/>
        <v>0</v>
      </c>
      <c r="BC27" s="11">
        <f t="shared" si="15"/>
        <v>0</v>
      </c>
      <c r="BD27" s="28">
        <f t="shared" si="16"/>
        <v>0</v>
      </c>
      <c r="BE27" s="29">
        <f t="shared" si="17"/>
        <v>0</v>
      </c>
      <c r="BF27" s="11">
        <f t="shared" si="18"/>
        <v>0</v>
      </c>
    </row>
    <row r="28" spans="1:58">
      <c r="A28" s="63" t="s">
        <v>85</v>
      </c>
      <c r="B28" s="63"/>
      <c r="C28" s="61" t="str">
        <f>IF(EXACT('변경(260104_260131)'!C28,'원번표(수정불가)'!C28)=$BS$9,"","변경")</f>
        <v/>
      </c>
      <c r="D28" s="32" t="str">
        <f>IF(EXACT('변경(260104_260131)'!D28,'원번표(수정불가)'!D28)=$BS$9,"","변경")</f>
        <v>변경</v>
      </c>
      <c r="E28" s="32" t="str">
        <f>IF(EXACT('변경(260104_260131)'!E28,'원번표(수정불가)'!E28)=$BS$9,"","변경")</f>
        <v/>
      </c>
      <c r="F28" s="32" t="str">
        <f>IF(EXACT('변경(260104_260131)'!F28,'원번표(수정불가)'!F28)=$BS$9,"","변경")</f>
        <v/>
      </c>
      <c r="G28" s="32" t="str">
        <f>IF(EXACT('변경(260104_260131)'!G28,'원번표(수정불가)'!G28)=$BS$9,"","변경")</f>
        <v/>
      </c>
      <c r="H28" s="32" t="str">
        <f>IF(EXACT('변경(260104_260131)'!H28,'원번표(수정불가)'!H28)=$BS$9,"","변경")</f>
        <v/>
      </c>
      <c r="I28" s="33" t="str">
        <f>IF(EXACT('변경(260104_260131)'!I28,'원번표(수정불가)'!I28)=$BS$9,"","변경")</f>
        <v/>
      </c>
      <c r="J28" s="61" t="str">
        <f>IF(EXACT('변경(260104_260131)'!J28,'원번표(수정불가)'!J28)=$BS$9,"","변경")</f>
        <v/>
      </c>
      <c r="K28" s="32" t="str">
        <f>IF(EXACT('변경(260104_260131)'!K28,'원번표(수정불가)'!K28)=$BS$9,"","변경")</f>
        <v/>
      </c>
      <c r="L28" s="32" t="str">
        <f>IF(EXACT('변경(260104_260131)'!L28,'원번표(수정불가)'!L28)=$BS$9,"","변경")</f>
        <v/>
      </c>
      <c r="M28" s="32" t="str">
        <f>IF(EXACT('변경(260104_260131)'!M28,'원번표(수정불가)'!M28)=$BS$9,"","변경")</f>
        <v/>
      </c>
      <c r="N28" s="32" t="str">
        <f>IF(EXACT('변경(260104_260131)'!N28,'원번표(수정불가)'!N28)=$BS$9,"","변경")</f>
        <v/>
      </c>
      <c r="O28" s="32" t="str">
        <f>IF(EXACT('변경(260104_260131)'!O28,'원번표(수정불가)'!O28)=$BS$9,"","변경")</f>
        <v/>
      </c>
      <c r="P28" s="73" t="str">
        <f>IF(EXACT('변경(260104_260131)'!P28,'원번표(수정불가)'!P28)=$BS$9,"","변경")</f>
        <v/>
      </c>
      <c r="Q28" s="31" t="str">
        <f>IF(EXACT('변경(260104_260131)'!Q28,'원번표(수정불가)'!Q28)=$BS$9,"","변경")</f>
        <v/>
      </c>
      <c r="R28" s="32" t="str">
        <f>IF(EXACT('변경(260104_260131)'!R28,'원번표(수정불가)'!R28)=$BS$9,"","변경")</f>
        <v/>
      </c>
      <c r="S28" s="32" t="str">
        <f>IF(EXACT('변경(260104_260131)'!S28,'원번표(수정불가)'!S28)=$BS$9,"","변경")</f>
        <v/>
      </c>
      <c r="T28" s="32" t="str">
        <f>IF(EXACT('변경(260104_260131)'!T28,'원번표(수정불가)'!T28)=$BS$9,"","변경")</f>
        <v/>
      </c>
      <c r="U28" s="32" t="str">
        <f>IF(EXACT('변경(260104_260131)'!U28,'원번표(수정불가)'!U28)=$BS$9,"","변경")</f>
        <v/>
      </c>
      <c r="V28" s="32" t="str">
        <f>IF(EXACT('변경(260104_260131)'!V28,'원번표(수정불가)'!V28)=$BS$9,"","변경")</f>
        <v/>
      </c>
      <c r="W28" s="33" t="str">
        <f>IF(EXACT('변경(260104_260131)'!W28,'원번표(수정불가)'!W28)=$BS$9,"","변경")</f>
        <v/>
      </c>
      <c r="X28" s="61" t="str">
        <f>IF(EXACT('변경(260104_260131)'!X28,'원번표(수정불가)'!X28)=$BS$9,"","변경")</f>
        <v/>
      </c>
      <c r="Y28" s="32" t="str">
        <f>IF(EXACT('변경(260104_260131)'!Y28,'원번표(수정불가)'!Y28)=$BS$9,"","변경")</f>
        <v/>
      </c>
      <c r="Z28" s="32" t="str">
        <f>IF(EXACT('변경(260104_260131)'!Z28,'원번표(수정불가)'!Z28)=$BS$9,"","변경")</f>
        <v/>
      </c>
      <c r="AA28" s="32" t="str">
        <f>IF(EXACT('변경(260104_260131)'!AA28,'원번표(수정불가)'!AA28)=$BS$9,"","변경")</f>
        <v/>
      </c>
      <c r="AB28" s="32" t="str">
        <f>IF(EXACT('변경(260104_260131)'!AB28,'원번표(수정불가)'!AB28)=$BS$9,"","변경")</f>
        <v/>
      </c>
      <c r="AC28" s="32" t="str">
        <f>IF(EXACT('변경(260104_260131)'!AC28,'원번표(수정불가)'!AC28)=$BS$9,"","변경")</f>
        <v/>
      </c>
      <c r="AD28" s="73" t="str">
        <f>IF(EXACT('변경(260104_260131)'!AD28,'원번표(수정불가)'!AD28)=$BS$9,"","변경")</f>
        <v/>
      </c>
      <c r="AE28" s="199">
        <f t="shared" ref="AE28" si="23">SUM(AT28:BC28)</f>
        <v>0</v>
      </c>
      <c r="AF28" s="198">
        <f t="shared" ref="AF28" si="24">COUNTIF(C28:AD28,"N")</f>
        <v>0</v>
      </c>
      <c r="AG28" s="104"/>
      <c r="AH28" s="105"/>
      <c r="AI28" s="106"/>
      <c r="AJ28" s="106"/>
      <c r="AK28" s="175">
        <f t="shared" si="1"/>
        <v>0</v>
      </c>
      <c r="AL28" s="38">
        <f t="shared" si="2"/>
        <v>0</v>
      </c>
      <c r="AM28" s="38">
        <f t="shared" si="20"/>
        <v>0</v>
      </c>
      <c r="AN28" s="38">
        <f t="shared" si="20"/>
        <v>0</v>
      </c>
      <c r="AO28" s="38">
        <f t="shared" si="21"/>
        <v>0</v>
      </c>
      <c r="AP28" s="38">
        <f t="shared" si="21"/>
        <v>0</v>
      </c>
      <c r="AQ28" s="38">
        <f t="shared" si="22"/>
        <v>0</v>
      </c>
      <c r="AR28" s="38">
        <f t="shared" si="22"/>
        <v>0</v>
      </c>
      <c r="AS28" s="63" t="s">
        <v>85</v>
      </c>
      <c r="AT28" s="17">
        <f t="shared" ref="AT28" si="25">COUNTIF(C28:AD28,"특*")</f>
        <v>0</v>
      </c>
      <c r="AU28" s="17">
        <f t="shared" ref="AU28" si="26">COUNTIF(C28:AD28,"경가")</f>
        <v>0</v>
      </c>
      <c r="AV28" s="17">
        <f t="shared" ref="AV28" si="27">COUNTIF(C28:AD28,"병*")</f>
        <v>0</v>
      </c>
      <c r="AW28" s="11">
        <f t="shared" ref="AW28" si="28">COUNTIF(C28:AD28,"공*")</f>
        <v>0</v>
      </c>
      <c r="AX28" s="11">
        <f t="shared" ref="AX28" si="29">COUNTIF(C28:AD28,"생*")+COUNTIF(C28:AD28,"산전")+COUNTIF(C28:AD28,"검진")</f>
        <v>0</v>
      </c>
      <c r="AY28" s="11">
        <f t="shared" ref="AY28" si="30">COUNTIF(C28:AD28,"법*")</f>
        <v>0</v>
      </c>
      <c r="AZ28" s="11">
        <f t="shared" ref="AZ28" si="31">COUNTIF(C28:AD28,"*OFF*")</f>
        <v>0</v>
      </c>
      <c r="BA28" s="11">
        <f t="shared" ref="BA28" si="32">COUNTIF(C28:AD28,"VAC*")+COUNTIF(C28:AD28,"휴가")</f>
        <v>0</v>
      </c>
      <c r="BB28" s="11">
        <f t="shared" ref="BB28" si="33">COUNTIF(C28:AD28,"수면*")</f>
        <v>0</v>
      </c>
      <c r="BC28" s="11">
        <f t="shared" ref="BC28" si="34">COUNTIF(C28:AD28,"주")</f>
        <v>0</v>
      </c>
      <c r="BD28" s="28">
        <f t="shared" ref="BD28" si="35">SUM(AX28:BC28)</f>
        <v>0</v>
      </c>
      <c r="BE28" s="29">
        <f t="shared" ref="BE28" si="36">COUNTIF(J28:AD28,"N")</f>
        <v>0</v>
      </c>
      <c r="BF28" s="11">
        <f t="shared" ref="BF28" si="37">SUM(AU28:BC28)</f>
        <v>0</v>
      </c>
    </row>
    <row r="29" spans="1:58">
      <c r="A29" s="63" t="s">
        <v>38</v>
      </c>
      <c r="B29" s="63"/>
      <c r="C29" s="61" t="str">
        <f>IF(EXACT('변경(260104_260131)'!C29,'원번표(수정불가)'!C29)=$BS$9,"","변경")</f>
        <v/>
      </c>
      <c r="D29" s="32" t="str">
        <f>IF(EXACT('변경(260104_260131)'!D29,'원번표(수정불가)'!D29)=$BS$9,"","변경")</f>
        <v/>
      </c>
      <c r="E29" s="32" t="str">
        <f>IF(EXACT('변경(260104_260131)'!E29,'원번표(수정불가)'!E29)=$BS$9,"","변경")</f>
        <v/>
      </c>
      <c r="F29" s="32" t="str">
        <f>IF(EXACT('변경(260104_260131)'!F29,'원번표(수정불가)'!F29)=$BS$9,"","변경")</f>
        <v/>
      </c>
      <c r="G29" s="32" t="str">
        <f>IF(EXACT('변경(260104_260131)'!G29,'원번표(수정불가)'!G29)=$BS$9,"","변경")</f>
        <v/>
      </c>
      <c r="H29" s="32" t="str">
        <f>IF(EXACT('변경(260104_260131)'!H29,'원번표(수정불가)'!H29)=$BS$9,"","변경")</f>
        <v/>
      </c>
      <c r="I29" s="33" t="str">
        <f>IF(EXACT('변경(260104_260131)'!I29,'원번표(수정불가)'!I29)=$BS$9,"","변경")</f>
        <v/>
      </c>
      <c r="J29" s="61" t="str">
        <f>IF(EXACT('변경(260104_260131)'!J29,'원번표(수정불가)'!J29)=$BS$9,"","변경")</f>
        <v/>
      </c>
      <c r="K29" s="32" t="str">
        <f>IF(EXACT('변경(260104_260131)'!K29,'원번표(수정불가)'!K29)=$BS$9,"","변경")</f>
        <v/>
      </c>
      <c r="L29" s="32" t="str">
        <f>IF(EXACT('변경(260104_260131)'!L29,'원번표(수정불가)'!L29)=$BS$9,"","변경")</f>
        <v/>
      </c>
      <c r="M29" s="32" t="str">
        <f>IF(EXACT('변경(260104_260131)'!M29,'원번표(수정불가)'!M29)=$BS$9,"","변경")</f>
        <v/>
      </c>
      <c r="N29" s="32" t="str">
        <f>IF(EXACT('변경(260104_260131)'!N29,'원번표(수정불가)'!N29)=$BS$9,"","변경")</f>
        <v/>
      </c>
      <c r="O29" s="32" t="str">
        <f>IF(EXACT('변경(260104_260131)'!O29,'원번표(수정불가)'!O29)=$BS$9,"","변경")</f>
        <v/>
      </c>
      <c r="P29" s="73" t="str">
        <f>IF(EXACT('변경(260104_260131)'!P29,'원번표(수정불가)'!P29)=$BS$9,"","변경")</f>
        <v/>
      </c>
      <c r="Q29" s="31" t="str">
        <f>IF(EXACT('변경(260104_260131)'!Q29,'원번표(수정불가)'!Q29)=$BS$9,"","변경")</f>
        <v/>
      </c>
      <c r="R29" s="32" t="str">
        <f>IF(EXACT('변경(260104_260131)'!R29,'원번표(수정불가)'!R29)=$BS$9,"","변경")</f>
        <v/>
      </c>
      <c r="S29" s="32" t="str">
        <f>IF(EXACT('변경(260104_260131)'!S29,'원번표(수정불가)'!S29)=$BS$9,"","변경")</f>
        <v/>
      </c>
      <c r="T29" s="32" t="str">
        <f>IF(EXACT('변경(260104_260131)'!T29,'원번표(수정불가)'!T29)=$BS$9,"","변경")</f>
        <v/>
      </c>
      <c r="U29" s="32" t="str">
        <f>IF(EXACT('변경(260104_260131)'!U29,'원번표(수정불가)'!U29)=$BS$9,"","변경")</f>
        <v/>
      </c>
      <c r="V29" s="32" t="str">
        <f>IF(EXACT('변경(260104_260131)'!V29,'원번표(수정불가)'!V29)=$BS$9,"","변경")</f>
        <v/>
      </c>
      <c r="W29" s="33" t="str">
        <f>IF(EXACT('변경(260104_260131)'!W29,'원번표(수정불가)'!W29)=$BS$9,"","변경")</f>
        <v/>
      </c>
      <c r="X29" s="61" t="str">
        <f>IF(EXACT('변경(260104_260131)'!X29,'원번표(수정불가)'!X29)=$BS$9,"","변경")</f>
        <v/>
      </c>
      <c r="Y29" s="32" t="str">
        <f>IF(EXACT('변경(260104_260131)'!Y29,'원번표(수정불가)'!Y29)=$BS$9,"","변경")</f>
        <v/>
      </c>
      <c r="Z29" s="32" t="str">
        <f>IF(EXACT('변경(260104_260131)'!Z29,'원번표(수정불가)'!Z29)=$BS$9,"","변경")</f>
        <v/>
      </c>
      <c r="AA29" s="32" t="str">
        <f>IF(EXACT('변경(260104_260131)'!AA29,'원번표(수정불가)'!AA29)=$BS$9,"","변경")</f>
        <v/>
      </c>
      <c r="AB29" s="32" t="str">
        <f>IF(EXACT('변경(260104_260131)'!AB29,'원번표(수정불가)'!AB29)=$BS$9,"","변경")</f>
        <v/>
      </c>
      <c r="AC29" s="32" t="str">
        <f>IF(EXACT('변경(260104_260131)'!AC29,'원번표(수정불가)'!AC29)=$BS$9,"","변경")</f>
        <v/>
      </c>
      <c r="AD29" s="73" t="str">
        <f>IF(EXACT('변경(260104_260131)'!AD29,'원번표(수정불가)'!AD29)=$BS$9,"","변경")</f>
        <v/>
      </c>
      <c r="AE29" s="199">
        <f t="shared" si="0"/>
        <v>0</v>
      </c>
      <c r="AF29" s="201">
        <f t="shared" si="19"/>
        <v>0</v>
      </c>
      <c r="AG29" s="106"/>
      <c r="AH29" s="110"/>
      <c r="AI29" s="106"/>
      <c r="AJ29" s="106"/>
      <c r="AK29" s="175">
        <f t="shared" si="1"/>
        <v>0</v>
      </c>
      <c r="AL29" s="38">
        <f t="shared" si="2"/>
        <v>0</v>
      </c>
      <c r="AM29" s="38">
        <f t="shared" si="20"/>
        <v>0</v>
      </c>
      <c r="AN29" s="38">
        <f t="shared" si="20"/>
        <v>0</v>
      </c>
      <c r="AO29" s="38">
        <f t="shared" si="21"/>
        <v>0</v>
      </c>
      <c r="AP29" s="38">
        <f t="shared" si="21"/>
        <v>0</v>
      </c>
      <c r="AQ29" s="38">
        <f t="shared" si="22"/>
        <v>0</v>
      </c>
      <c r="AR29" s="38">
        <f t="shared" si="22"/>
        <v>0</v>
      </c>
      <c r="AS29" s="63" t="s">
        <v>38</v>
      </c>
      <c r="AT29" s="17">
        <f t="shared" si="6"/>
        <v>0</v>
      </c>
      <c r="AU29" s="17">
        <f t="shared" si="7"/>
        <v>0</v>
      </c>
      <c r="AV29" s="17">
        <f t="shared" si="8"/>
        <v>0</v>
      </c>
      <c r="AW29" s="11">
        <f t="shared" si="9"/>
        <v>0</v>
      </c>
      <c r="AX29" s="11">
        <f t="shared" si="10"/>
        <v>0</v>
      </c>
      <c r="AY29" s="11">
        <f t="shared" si="11"/>
        <v>0</v>
      </c>
      <c r="AZ29" s="11">
        <f t="shared" si="12"/>
        <v>0</v>
      </c>
      <c r="BA29" s="11">
        <f t="shared" si="13"/>
        <v>0</v>
      </c>
      <c r="BB29" s="11">
        <f t="shared" si="14"/>
        <v>0</v>
      </c>
      <c r="BC29" s="11">
        <f t="shared" si="15"/>
        <v>0</v>
      </c>
      <c r="BD29" s="28">
        <f t="shared" si="16"/>
        <v>0</v>
      </c>
      <c r="BE29" s="29">
        <f t="shared" si="17"/>
        <v>0</v>
      </c>
      <c r="BF29" s="11">
        <f t="shared" si="18"/>
        <v>0</v>
      </c>
    </row>
    <row r="30" spans="1:58" ht="17.25" thickBot="1">
      <c r="A30" s="169" t="s">
        <v>39</v>
      </c>
      <c r="B30" s="63"/>
      <c r="C30" s="61" t="str">
        <f>IF(EXACT('변경(260104_260131)'!C30,'원번표(수정불가)'!C30)=$BS$9,"","변경")</f>
        <v/>
      </c>
      <c r="D30" s="32" t="str">
        <f>IF(EXACT('변경(260104_260131)'!D30,'원번표(수정불가)'!D30)=$BS$9,"","변경")</f>
        <v/>
      </c>
      <c r="E30" s="32" t="str">
        <f>IF(EXACT('변경(260104_260131)'!E30,'원번표(수정불가)'!E30)=$BS$9,"","변경")</f>
        <v/>
      </c>
      <c r="F30" s="32" t="str">
        <f>IF(EXACT('변경(260104_260131)'!F30,'원번표(수정불가)'!F30)=$BS$9,"","변경")</f>
        <v/>
      </c>
      <c r="G30" s="32" t="str">
        <f>IF(EXACT('변경(260104_260131)'!G30,'원번표(수정불가)'!G30)=$BS$9,"","변경")</f>
        <v/>
      </c>
      <c r="H30" s="32" t="str">
        <f>IF(EXACT('변경(260104_260131)'!H30,'원번표(수정불가)'!H30)=$BS$9,"","변경")</f>
        <v/>
      </c>
      <c r="I30" s="33" t="str">
        <f>IF(EXACT('변경(260104_260131)'!I30,'원번표(수정불가)'!I30)=$BS$9,"","변경")</f>
        <v/>
      </c>
      <c r="J30" s="61" t="str">
        <f>IF(EXACT('변경(260104_260131)'!J30,'원번표(수정불가)'!J30)=$BS$9,"","변경")</f>
        <v/>
      </c>
      <c r="K30" s="32" t="str">
        <f>IF(EXACT('변경(260104_260131)'!K30,'원번표(수정불가)'!K30)=$BS$9,"","변경")</f>
        <v/>
      </c>
      <c r="L30" s="32" t="str">
        <f>IF(EXACT('변경(260104_260131)'!L30,'원번표(수정불가)'!L30)=$BS$9,"","변경")</f>
        <v/>
      </c>
      <c r="M30" s="32" t="str">
        <f>IF(EXACT('변경(260104_260131)'!M30,'원번표(수정불가)'!M30)=$BS$9,"","변경")</f>
        <v/>
      </c>
      <c r="N30" s="32" t="str">
        <f>IF(EXACT('변경(260104_260131)'!N30,'원번표(수정불가)'!N30)=$BS$9,"","변경")</f>
        <v/>
      </c>
      <c r="O30" s="32" t="str">
        <f>IF(EXACT('변경(260104_260131)'!O30,'원번표(수정불가)'!O30)=$BS$9,"","변경")</f>
        <v/>
      </c>
      <c r="P30" s="73" t="str">
        <f>IF(EXACT('변경(260104_260131)'!P30,'원번표(수정불가)'!P30)=$BS$9,"","변경")</f>
        <v/>
      </c>
      <c r="Q30" s="31" t="str">
        <f>IF(EXACT('변경(260104_260131)'!Q30,'원번표(수정불가)'!Q30)=$BS$9,"","변경")</f>
        <v/>
      </c>
      <c r="R30" s="32" t="str">
        <f>IF(EXACT('변경(260104_260131)'!R30,'원번표(수정불가)'!R30)=$BS$9,"","변경")</f>
        <v/>
      </c>
      <c r="S30" s="32" t="str">
        <f>IF(EXACT('변경(260104_260131)'!S30,'원번표(수정불가)'!S30)=$BS$9,"","변경")</f>
        <v/>
      </c>
      <c r="T30" s="32" t="str">
        <f>IF(EXACT('변경(260104_260131)'!T30,'원번표(수정불가)'!T30)=$BS$9,"","변경")</f>
        <v/>
      </c>
      <c r="U30" s="32" t="str">
        <f>IF(EXACT('변경(260104_260131)'!U30,'원번표(수정불가)'!U30)=$BS$9,"","변경")</f>
        <v/>
      </c>
      <c r="V30" s="32" t="str">
        <f>IF(EXACT('변경(260104_260131)'!V30,'원번표(수정불가)'!V30)=$BS$9,"","변경")</f>
        <v/>
      </c>
      <c r="W30" s="33" t="str">
        <f>IF(EXACT('변경(260104_260131)'!W30,'원번표(수정불가)'!W30)=$BS$9,"","변경")</f>
        <v/>
      </c>
      <c r="X30" s="61" t="str">
        <f>IF(EXACT('변경(260104_260131)'!X30,'원번표(수정불가)'!X30)=$BS$9,"","변경")</f>
        <v/>
      </c>
      <c r="Y30" s="32" t="str">
        <f>IF(EXACT('변경(260104_260131)'!Y30,'원번표(수정불가)'!Y30)=$BS$9,"","변경")</f>
        <v/>
      </c>
      <c r="Z30" s="32" t="str">
        <f>IF(EXACT('변경(260104_260131)'!Z30,'원번표(수정불가)'!Z30)=$BS$9,"","변경")</f>
        <v/>
      </c>
      <c r="AA30" s="32" t="str">
        <f>IF(EXACT('변경(260104_260131)'!AA30,'원번표(수정불가)'!AA30)=$BS$9,"","변경")</f>
        <v/>
      </c>
      <c r="AB30" s="32" t="str">
        <f>IF(EXACT('변경(260104_260131)'!AB30,'원번표(수정불가)'!AB30)=$BS$9,"","변경")</f>
        <v/>
      </c>
      <c r="AC30" s="32" t="str">
        <f>IF(EXACT('변경(260104_260131)'!AC30,'원번표(수정불가)'!AC30)=$BS$9,"","변경")</f>
        <v/>
      </c>
      <c r="AD30" s="73" t="str">
        <f>IF(EXACT('변경(260104_260131)'!AD30,'원번표(수정불가)'!AD30)=$BS$9,"","변경")</f>
        <v/>
      </c>
      <c r="AE30" s="199">
        <f t="shared" ref="AE30" si="38">SUM(AT30:BC30)</f>
        <v>0</v>
      </c>
      <c r="AF30" s="198">
        <f t="shared" ref="AF30" si="39">COUNTIF(C30:AD30,"N")</f>
        <v>0</v>
      </c>
      <c r="AG30" s="104"/>
      <c r="AH30" s="105"/>
      <c r="AI30" s="106"/>
      <c r="AJ30" s="106"/>
      <c r="AK30" s="175">
        <f t="shared" si="1"/>
        <v>0</v>
      </c>
      <c r="AL30" s="38">
        <f t="shared" si="2"/>
        <v>0</v>
      </c>
      <c r="AM30" s="38">
        <f t="shared" si="20"/>
        <v>0</v>
      </c>
      <c r="AN30" s="38">
        <f t="shared" si="20"/>
        <v>0</v>
      </c>
      <c r="AO30" s="38">
        <f t="shared" si="21"/>
        <v>0</v>
      </c>
      <c r="AP30" s="38">
        <f t="shared" si="21"/>
        <v>0</v>
      </c>
      <c r="AQ30" s="38">
        <f t="shared" si="22"/>
        <v>0</v>
      </c>
      <c r="AR30" s="38">
        <f t="shared" si="22"/>
        <v>0</v>
      </c>
      <c r="AS30" s="169" t="s">
        <v>39</v>
      </c>
      <c r="AT30" s="17">
        <f t="shared" ref="AT30" si="40">COUNTIF(C30:AD30,"특*")</f>
        <v>0</v>
      </c>
      <c r="AU30" s="17">
        <f t="shared" ref="AU30" si="41">COUNTIF(C30:AD30,"경가")</f>
        <v>0</v>
      </c>
      <c r="AV30" s="17">
        <f t="shared" ref="AV30" si="42">COUNTIF(C30:AD30,"병*")</f>
        <v>0</v>
      </c>
      <c r="AW30" s="11">
        <f t="shared" ref="AW30" si="43">COUNTIF(C30:AD30,"공*")</f>
        <v>0</v>
      </c>
      <c r="AX30" s="11">
        <f t="shared" ref="AX30" si="44">COUNTIF(C30:AD30,"생*")+COUNTIF(C30:AD30,"산전")+COUNTIF(C30:AD30,"검진")</f>
        <v>0</v>
      </c>
      <c r="AY30" s="11">
        <f t="shared" ref="AY30" si="45">COUNTIF(C30:AD30,"법*")</f>
        <v>0</v>
      </c>
      <c r="AZ30" s="11">
        <f t="shared" ref="AZ30" si="46">COUNTIF(C30:AD30,"*OFF*")</f>
        <v>0</v>
      </c>
      <c r="BA30" s="11">
        <f t="shared" ref="BA30" si="47">COUNTIF(C30:AD30,"VAC*")+COUNTIF(C30:AD30,"휴가")</f>
        <v>0</v>
      </c>
      <c r="BB30" s="11">
        <f t="shared" ref="BB30" si="48">COUNTIF(C30:AD30,"수면*")</f>
        <v>0</v>
      </c>
      <c r="BC30" s="11">
        <f t="shared" ref="BC30" si="49">COUNTIF(C30:AD30,"주")</f>
        <v>0</v>
      </c>
      <c r="BD30" s="28">
        <f t="shared" ref="BD30" si="50">SUM(AX30:BC30)</f>
        <v>0</v>
      </c>
      <c r="BE30" s="29">
        <f t="shared" ref="BE30" si="51">COUNTIF(J30:AD30,"N")</f>
        <v>0</v>
      </c>
      <c r="BF30" s="11">
        <f t="shared" ref="BF30" si="52">SUM(AU30:BC30)</f>
        <v>0</v>
      </c>
    </row>
    <row r="31" spans="1:58" ht="17.25" thickBot="1">
      <c r="A31" s="192" t="s">
        <v>52</v>
      </c>
      <c r="B31" s="81"/>
      <c r="C31" s="231" t="str">
        <f>IF(EXACT('변경(260104_260131)'!C31,'원번표(수정불가)'!C31)=$BS$9,"","변경")</f>
        <v/>
      </c>
      <c r="D31" s="70" t="str">
        <f>IF(EXACT('변경(260104_260131)'!D31,'원번표(수정불가)'!D31)=$BS$9,"","변경")</f>
        <v/>
      </c>
      <c r="E31" s="70" t="str">
        <f>IF(EXACT('변경(260104_260131)'!E31,'원번표(수정불가)'!E31)=$BS$9,"","변경")</f>
        <v/>
      </c>
      <c r="F31" s="70" t="str">
        <f>IF(EXACT('변경(260104_260131)'!F31,'원번표(수정불가)'!F31)=$BS$9,"","변경")</f>
        <v/>
      </c>
      <c r="G31" s="70" t="str">
        <f>IF(EXACT('변경(260104_260131)'!G31,'원번표(수정불가)'!G31)=$BS$9,"","변경")</f>
        <v/>
      </c>
      <c r="H31" s="70" t="str">
        <f>IF(EXACT('변경(260104_260131)'!H31,'원번표(수정불가)'!H31)=$BS$9,"","변경")</f>
        <v/>
      </c>
      <c r="I31" s="129" t="str">
        <f>IF(EXACT('변경(260104_260131)'!I31,'원번표(수정불가)'!I31)=$BS$9,"","변경")</f>
        <v/>
      </c>
      <c r="J31" s="231" t="str">
        <f>IF(EXACT('변경(260104_260131)'!J31,'원번표(수정불가)'!J31)=$BS$9,"","변경")</f>
        <v/>
      </c>
      <c r="K31" s="70" t="str">
        <f>IF(EXACT('변경(260104_260131)'!K31,'원번표(수정불가)'!K31)=$BS$9,"","변경")</f>
        <v/>
      </c>
      <c r="L31" s="70" t="str">
        <f>IF(EXACT('변경(260104_260131)'!L31,'원번표(수정불가)'!L31)=$BS$9,"","변경")</f>
        <v/>
      </c>
      <c r="M31" s="70" t="str">
        <f>IF(EXACT('변경(260104_260131)'!M31,'원번표(수정불가)'!M31)=$BS$9,"","변경")</f>
        <v/>
      </c>
      <c r="N31" s="70" t="str">
        <f>IF(EXACT('변경(260104_260131)'!N31,'원번표(수정불가)'!N31)=$BS$9,"","변경")</f>
        <v/>
      </c>
      <c r="O31" s="70" t="str">
        <f>IF(EXACT('변경(260104_260131)'!O31,'원번표(수정불가)'!O31)=$BS$9,"","변경")</f>
        <v/>
      </c>
      <c r="P31" s="230" t="str">
        <f>IF(EXACT('변경(260104_260131)'!P31,'원번표(수정불가)'!P31)=$BS$9,"","변경")</f>
        <v/>
      </c>
      <c r="Q31" s="131" t="str">
        <f>IF(EXACT('변경(260104_260131)'!Q31,'원번표(수정불가)'!Q31)=$BS$9,"","변경")</f>
        <v/>
      </c>
      <c r="R31" s="70" t="str">
        <f>IF(EXACT('변경(260104_260131)'!R31,'원번표(수정불가)'!R31)=$BS$9,"","변경")</f>
        <v/>
      </c>
      <c r="S31" s="70" t="str">
        <f>IF(EXACT('변경(260104_260131)'!S31,'원번표(수정불가)'!S31)=$BS$9,"","변경")</f>
        <v/>
      </c>
      <c r="T31" s="70" t="str">
        <f>IF(EXACT('변경(260104_260131)'!T31,'원번표(수정불가)'!T31)=$BS$9,"","변경")</f>
        <v/>
      </c>
      <c r="U31" s="70" t="str">
        <f>IF(EXACT('변경(260104_260131)'!U31,'원번표(수정불가)'!U31)=$BS$9,"","변경")</f>
        <v/>
      </c>
      <c r="V31" s="70" t="str">
        <f>IF(EXACT('변경(260104_260131)'!V31,'원번표(수정불가)'!V31)=$BS$9,"","변경")</f>
        <v/>
      </c>
      <c r="W31" s="129" t="str">
        <f>IF(EXACT('변경(260104_260131)'!W31,'원번표(수정불가)'!W31)=$BS$9,"","변경")</f>
        <v/>
      </c>
      <c r="X31" s="231" t="str">
        <f>IF(EXACT('변경(260104_260131)'!X31,'원번표(수정불가)'!X31)=$BS$9,"","변경")</f>
        <v/>
      </c>
      <c r="Y31" s="70" t="str">
        <f>IF(EXACT('변경(260104_260131)'!Y31,'원번표(수정불가)'!Y31)=$BS$9,"","변경")</f>
        <v/>
      </c>
      <c r="Z31" s="70" t="str">
        <f>IF(EXACT('변경(260104_260131)'!Z31,'원번표(수정불가)'!Z31)=$BS$9,"","변경")</f>
        <v/>
      </c>
      <c r="AA31" s="70" t="str">
        <f>IF(EXACT('변경(260104_260131)'!AA31,'원번표(수정불가)'!AA31)=$BS$9,"","변경")</f>
        <v/>
      </c>
      <c r="AB31" s="70" t="str">
        <f>IF(EXACT('변경(260104_260131)'!AB31,'원번표(수정불가)'!AB31)=$BS$9,"","변경")</f>
        <v/>
      </c>
      <c r="AC31" s="70" t="str">
        <f>IF(EXACT('변경(260104_260131)'!AC31,'원번표(수정불가)'!AC31)=$BS$9,"","변경")</f>
        <v/>
      </c>
      <c r="AD31" s="230" t="str">
        <f>IF(EXACT('변경(260104_260131)'!AD31,'원번표(수정불가)'!AD31)=$BS$9,"","변경")</f>
        <v/>
      </c>
      <c r="AE31" s="197">
        <f t="shared" si="0"/>
        <v>0</v>
      </c>
      <c r="AF31" s="201">
        <f t="shared" si="19"/>
        <v>0</v>
      </c>
      <c r="AG31" s="106"/>
      <c r="AH31" s="110"/>
      <c r="AI31" s="106"/>
      <c r="AJ31" s="106"/>
      <c r="AK31" s="175">
        <f t="shared" si="1"/>
        <v>0</v>
      </c>
      <c r="AL31" s="38">
        <f t="shared" si="2"/>
        <v>0</v>
      </c>
      <c r="AM31" s="38">
        <f t="shared" si="20"/>
        <v>0</v>
      </c>
      <c r="AN31" s="38">
        <f t="shared" si="20"/>
        <v>0</v>
      </c>
      <c r="AO31" s="38">
        <f t="shared" si="21"/>
        <v>0</v>
      </c>
      <c r="AP31" s="38">
        <f t="shared" si="21"/>
        <v>0</v>
      </c>
      <c r="AQ31" s="38">
        <f t="shared" si="22"/>
        <v>0</v>
      </c>
      <c r="AR31" s="38">
        <f t="shared" si="22"/>
        <v>0</v>
      </c>
      <c r="AS31" s="192" t="s">
        <v>52</v>
      </c>
      <c r="AT31" s="17">
        <f t="shared" si="6"/>
        <v>0</v>
      </c>
      <c r="AU31" s="17">
        <f t="shared" si="7"/>
        <v>0</v>
      </c>
      <c r="AV31" s="17">
        <f t="shared" si="8"/>
        <v>0</v>
      </c>
      <c r="AW31" s="11">
        <f t="shared" si="9"/>
        <v>0</v>
      </c>
      <c r="AX31" s="11">
        <f t="shared" si="10"/>
        <v>0</v>
      </c>
      <c r="AY31" s="11">
        <f t="shared" si="11"/>
        <v>0</v>
      </c>
      <c r="AZ31" s="11">
        <f t="shared" si="12"/>
        <v>0</v>
      </c>
      <c r="BA31" s="11">
        <f t="shared" si="13"/>
        <v>0</v>
      </c>
      <c r="BB31" s="11">
        <f t="shared" si="14"/>
        <v>0</v>
      </c>
      <c r="BC31" s="11">
        <f t="shared" si="15"/>
        <v>0</v>
      </c>
      <c r="BD31" s="28">
        <f t="shared" si="16"/>
        <v>0</v>
      </c>
      <c r="BE31" s="29">
        <f t="shared" si="17"/>
        <v>0</v>
      </c>
      <c r="BF31" s="11">
        <f t="shared" si="18"/>
        <v>0</v>
      </c>
    </row>
    <row r="32" spans="1:58" ht="17.25" thickBot="1">
      <c r="A32" s="126" t="s">
        <v>75</v>
      </c>
      <c r="B32" s="192"/>
      <c r="C32" s="21" t="str">
        <f>IF(EXACT('변경(260104_260131)'!C32,'원번표(수정불가)'!C32)=$BS$9,"","변경")</f>
        <v/>
      </c>
      <c r="D32" s="22" t="str">
        <f>IF(EXACT('변경(260104_260131)'!D32,'원번표(수정불가)'!D32)=$BS$9,"","변경")</f>
        <v/>
      </c>
      <c r="E32" s="22" t="str">
        <f>IF(EXACT('변경(260104_260131)'!E32,'원번표(수정불가)'!E32)=$BS$9,"","변경")</f>
        <v/>
      </c>
      <c r="F32" s="22" t="str">
        <f>IF(EXACT('변경(260104_260131)'!F32,'원번표(수정불가)'!F32)=$BS$9,"","변경")</f>
        <v/>
      </c>
      <c r="G32" s="22" t="str">
        <f>IF(EXACT('변경(260104_260131)'!G32,'원번표(수정불가)'!G32)=$BS$9,"","변경")</f>
        <v/>
      </c>
      <c r="H32" s="22" t="str">
        <f>IF(EXACT('변경(260104_260131)'!H32,'원번표(수정불가)'!H32)=$BS$9,"","변경")</f>
        <v/>
      </c>
      <c r="I32" s="135" t="str">
        <f>IF(EXACT('변경(260104_260131)'!I32,'원번표(수정불가)'!I32)=$BS$9,"","변경")</f>
        <v/>
      </c>
      <c r="J32" s="21" t="str">
        <f>IF(EXACT('변경(260104_260131)'!J32,'원번표(수정불가)'!J32)=$BS$9,"","변경")</f>
        <v/>
      </c>
      <c r="K32" s="22" t="str">
        <f>IF(EXACT('변경(260104_260131)'!K32,'원번표(수정불가)'!K32)=$BS$9,"","변경")</f>
        <v/>
      </c>
      <c r="L32" s="22" t="str">
        <f>IF(EXACT('변경(260104_260131)'!L32,'원번표(수정불가)'!L32)=$BS$9,"","변경")</f>
        <v/>
      </c>
      <c r="M32" s="22" t="str">
        <f>IF(EXACT('변경(260104_260131)'!M32,'원번표(수정불가)'!M32)=$BS$9,"","변경")</f>
        <v/>
      </c>
      <c r="N32" s="22" t="str">
        <f>IF(EXACT('변경(260104_260131)'!N32,'원번표(수정불가)'!N32)=$BS$9,"","변경")</f>
        <v>변경</v>
      </c>
      <c r="O32" s="22" t="str">
        <f>IF(EXACT('변경(260104_260131)'!O32,'원번표(수정불가)'!O32)=$BS$9,"","변경")</f>
        <v/>
      </c>
      <c r="P32" s="55" t="str">
        <f>IF(EXACT('변경(260104_260131)'!P32,'원번표(수정불가)'!P32)=$BS$9,"","변경")</f>
        <v/>
      </c>
      <c r="Q32" s="132" t="str">
        <f>IF(EXACT('변경(260104_260131)'!Q32,'원번표(수정불가)'!Q32)=$BS$9,"","변경")</f>
        <v/>
      </c>
      <c r="R32" s="22" t="str">
        <f>IF(EXACT('변경(260104_260131)'!R32,'원번표(수정불가)'!R32)=$BS$9,"","변경")</f>
        <v/>
      </c>
      <c r="S32" s="22" t="str">
        <f>IF(EXACT('변경(260104_260131)'!S32,'원번표(수정불가)'!S32)=$BS$9,"","변경")</f>
        <v/>
      </c>
      <c r="T32" s="22" t="str">
        <f>IF(EXACT('변경(260104_260131)'!T32,'원번표(수정불가)'!T32)=$BS$9,"","변경")</f>
        <v/>
      </c>
      <c r="U32" s="22" t="str">
        <f>IF(EXACT('변경(260104_260131)'!U32,'원번표(수정불가)'!U32)=$BS$9,"","변경")</f>
        <v/>
      </c>
      <c r="V32" s="22" t="str">
        <f>IF(EXACT('변경(260104_260131)'!V32,'원번표(수정불가)'!V32)=$BS$9,"","변경")</f>
        <v/>
      </c>
      <c r="W32" s="135" t="str">
        <f>IF(EXACT('변경(260104_260131)'!W32,'원번표(수정불가)'!W32)=$BS$9,"","변경")</f>
        <v/>
      </c>
      <c r="X32" s="21" t="str">
        <f>IF(EXACT('변경(260104_260131)'!X32,'원번표(수정불가)'!X32)=$BS$9,"","변경")</f>
        <v/>
      </c>
      <c r="Y32" s="22" t="str">
        <f>IF(EXACT('변경(260104_260131)'!Y32,'원번표(수정불가)'!Y32)=$BS$9,"","변경")</f>
        <v/>
      </c>
      <c r="Z32" s="22" t="str">
        <f>IF(EXACT('변경(260104_260131)'!Z32,'원번표(수정불가)'!Z32)=$BS$9,"","변경")</f>
        <v/>
      </c>
      <c r="AA32" s="22" t="str">
        <f>IF(EXACT('변경(260104_260131)'!AA32,'원번표(수정불가)'!AA32)=$BS$9,"","변경")</f>
        <v/>
      </c>
      <c r="AB32" s="22" t="str">
        <f>IF(EXACT('변경(260104_260131)'!AB32,'원번표(수정불가)'!AB32)=$BS$9,"","변경")</f>
        <v/>
      </c>
      <c r="AC32" s="22" t="str">
        <f>IF(EXACT('변경(260104_260131)'!AC32,'원번표(수정불가)'!AC32)=$BS$9,"","변경")</f>
        <v/>
      </c>
      <c r="AD32" s="55" t="str">
        <f>IF(EXACT('변경(260104_260131)'!AD32,'원번표(수정불가)'!AD32)=$BS$9,"","변경")</f>
        <v/>
      </c>
      <c r="AE32" s="235">
        <f t="shared" si="0"/>
        <v>0</v>
      </c>
      <c r="AF32" s="203">
        <f t="shared" si="19"/>
        <v>0</v>
      </c>
      <c r="AG32" s="106"/>
      <c r="AH32" s="110"/>
      <c r="AI32" s="106"/>
      <c r="AJ32" s="106"/>
      <c r="AK32" s="185">
        <f t="shared" si="1"/>
        <v>0</v>
      </c>
      <c r="AL32" s="53">
        <f t="shared" si="2"/>
        <v>0</v>
      </c>
      <c r="AM32" s="53">
        <f t="shared" si="20"/>
        <v>0</v>
      </c>
      <c r="AN32" s="53">
        <f t="shared" si="20"/>
        <v>0</v>
      </c>
      <c r="AO32" s="53">
        <f t="shared" si="21"/>
        <v>0</v>
      </c>
      <c r="AP32" s="53">
        <f t="shared" si="21"/>
        <v>0</v>
      </c>
      <c r="AQ32" s="53">
        <f t="shared" si="22"/>
        <v>0</v>
      </c>
      <c r="AR32" s="53">
        <f t="shared" si="22"/>
        <v>0</v>
      </c>
      <c r="AS32" s="126" t="s">
        <v>75</v>
      </c>
      <c r="AT32" s="17">
        <f t="shared" si="6"/>
        <v>0</v>
      </c>
      <c r="AU32" s="17">
        <f t="shared" si="7"/>
        <v>0</v>
      </c>
      <c r="AV32" s="17">
        <f t="shared" si="8"/>
        <v>0</v>
      </c>
      <c r="AW32" s="11">
        <f t="shared" si="9"/>
        <v>0</v>
      </c>
      <c r="AX32" s="11">
        <f t="shared" si="10"/>
        <v>0</v>
      </c>
      <c r="AY32" s="11">
        <f t="shared" si="11"/>
        <v>0</v>
      </c>
      <c r="AZ32" s="11">
        <f t="shared" si="12"/>
        <v>0</v>
      </c>
      <c r="BA32" s="11">
        <f t="shared" si="13"/>
        <v>0</v>
      </c>
      <c r="BB32" s="11">
        <f t="shared" si="14"/>
        <v>0</v>
      </c>
      <c r="BC32" s="11">
        <f t="shared" si="15"/>
        <v>0</v>
      </c>
      <c r="BD32" s="28">
        <f t="shared" si="16"/>
        <v>0</v>
      </c>
      <c r="BE32" s="29">
        <f t="shared" si="17"/>
        <v>0</v>
      </c>
      <c r="BF32" s="11">
        <f t="shared" si="18"/>
        <v>0</v>
      </c>
    </row>
    <row r="33" spans="1:58">
      <c r="A33" s="126" t="s">
        <v>70</v>
      </c>
      <c r="B33" s="126"/>
      <c r="C33" s="31" t="str">
        <f>IF(EXACT('변경(260104_260131)'!C33,'원번표(수정불가)'!C33)=$BS$9,"","변경")</f>
        <v/>
      </c>
      <c r="D33" s="32" t="str">
        <f>IF(EXACT('변경(260104_260131)'!D33,'원번표(수정불가)'!D33)=$BS$9,"","변경")</f>
        <v/>
      </c>
      <c r="E33" s="32" t="str">
        <f>IF(EXACT('변경(260104_260131)'!E33,'원번표(수정불가)'!E33)=$BS$9,"","변경")</f>
        <v/>
      </c>
      <c r="F33" s="32" t="str">
        <f>IF(EXACT('변경(260104_260131)'!F33,'원번표(수정불가)'!F33)=$BS$9,"","변경")</f>
        <v/>
      </c>
      <c r="G33" s="32" t="str">
        <f>IF(EXACT('변경(260104_260131)'!G33,'원번표(수정불가)'!G33)=$BS$9,"","변경")</f>
        <v/>
      </c>
      <c r="H33" s="32" t="str">
        <f>IF(EXACT('변경(260104_260131)'!H33,'원번표(수정불가)'!H33)=$BS$9,"","변경")</f>
        <v/>
      </c>
      <c r="I33" s="73" t="str">
        <f>IF(EXACT('변경(260104_260131)'!I33,'원번표(수정불가)'!I33)=$BS$9,"","변경")</f>
        <v/>
      </c>
      <c r="J33" s="31" t="str">
        <f>IF(EXACT('변경(260104_260131)'!J33,'원번표(수정불가)'!J33)=$BS$9,"","변경")</f>
        <v/>
      </c>
      <c r="K33" s="32" t="str">
        <f>IF(EXACT('변경(260104_260131)'!K33,'원번표(수정불가)'!K33)=$BS$9,"","변경")</f>
        <v/>
      </c>
      <c r="L33" s="32" t="str">
        <f>IF(EXACT('변경(260104_260131)'!L33,'원번표(수정불가)'!L33)=$BS$9,"","변경")</f>
        <v/>
      </c>
      <c r="M33" s="32" t="str">
        <f>IF(EXACT('변경(260104_260131)'!M33,'원번표(수정불가)'!M33)=$BS$9,"","변경")</f>
        <v/>
      </c>
      <c r="N33" s="32" t="str">
        <f>IF(EXACT('변경(260104_260131)'!N33,'원번표(수정불가)'!N33)=$BS$9,"","변경")</f>
        <v/>
      </c>
      <c r="O33" s="32" t="str">
        <f>IF(EXACT('변경(260104_260131)'!O33,'원번표(수정불가)'!O33)=$BS$9,"","변경")</f>
        <v/>
      </c>
      <c r="P33" s="33" t="str">
        <f>IF(EXACT('변경(260104_260131)'!P33,'원번표(수정불가)'!P33)=$BS$9,"","변경")</f>
        <v/>
      </c>
      <c r="Q33" s="61" t="str">
        <f>IF(EXACT('변경(260104_260131)'!Q33,'원번표(수정불가)'!Q33)=$BS$9,"","변경")</f>
        <v/>
      </c>
      <c r="R33" s="32" t="str">
        <f>IF(EXACT('변경(260104_260131)'!R33,'원번표(수정불가)'!R33)=$BS$9,"","변경")</f>
        <v/>
      </c>
      <c r="S33" s="32" t="str">
        <f>IF(EXACT('변경(260104_260131)'!S33,'원번표(수정불가)'!S33)=$BS$9,"","변경")</f>
        <v/>
      </c>
      <c r="T33" s="32" t="str">
        <f>IF(EXACT('변경(260104_260131)'!T33,'원번표(수정불가)'!T33)=$BS$9,"","변경")</f>
        <v/>
      </c>
      <c r="U33" s="32" t="str">
        <f>IF(EXACT('변경(260104_260131)'!U33,'원번표(수정불가)'!U33)=$BS$9,"","변경")</f>
        <v/>
      </c>
      <c r="V33" s="32" t="str">
        <f>IF(EXACT('변경(260104_260131)'!V33,'원번표(수정불가)'!V33)=$BS$9,"","변경")</f>
        <v/>
      </c>
      <c r="W33" s="73" t="str">
        <f>IF(EXACT('변경(260104_260131)'!W33,'원번표(수정불가)'!W33)=$BS$9,"","변경")</f>
        <v/>
      </c>
      <c r="X33" s="31" t="str">
        <f>IF(EXACT('변경(260104_260131)'!X33,'원번표(수정불가)'!X33)=$BS$9,"","변경")</f>
        <v/>
      </c>
      <c r="Y33" s="32" t="str">
        <f>IF(EXACT('변경(260104_260131)'!Y33,'원번표(수정불가)'!Y33)=$BS$9,"","변경")</f>
        <v/>
      </c>
      <c r="Z33" s="32" t="str">
        <f>IF(EXACT('변경(260104_260131)'!Z33,'원번표(수정불가)'!Z33)=$BS$9,"","변경")</f>
        <v/>
      </c>
      <c r="AA33" s="32" t="str">
        <f>IF(EXACT('변경(260104_260131)'!AA33,'원번표(수정불가)'!AA33)=$BS$9,"","변경")</f>
        <v/>
      </c>
      <c r="AB33" s="32" t="str">
        <f>IF(EXACT('변경(260104_260131)'!AB33,'원번표(수정불가)'!AB33)=$BS$9,"","변경")</f>
        <v/>
      </c>
      <c r="AC33" s="32" t="str">
        <f>IF(EXACT('변경(260104_260131)'!AC33,'원번표(수정불가)'!AC33)=$BS$9,"","변경")</f>
        <v/>
      </c>
      <c r="AD33" s="33" t="str">
        <f>IF(EXACT('변경(260104_260131)'!AD33,'원번표(수정불가)'!AD33)=$BS$9,"","변경")</f>
        <v/>
      </c>
      <c r="AE33" s="236">
        <f t="shared" si="0"/>
        <v>0</v>
      </c>
      <c r="AF33" s="207">
        <f t="shared" si="19"/>
        <v>0</v>
      </c>
      <c r="AG33" s="106"/>
      <c r="AH33" s="110"/>
      <c r="AI33" s="106"/>
      <c r="AJ33" s="106"/>
      <c r="AK33" s="174">
        <f t="shared" si="1"/>
        <v>0</v>
      </c>
      <c r="AL33" s="26">
        <f t="shared" si="2"/>
        <v>0</v>
      </c>
      <c r="AM33" s="26">
        <f t="shared" si="20"/>
        <v>0</v>
      </c>
      <c r="AN33" s="26">
        <f t="shared" si="20"/>
        <v>0</v>
      </c>
      <c r="AO33" s="26">
        <f t="shared" si="21"/>
        <v>0</v>
      </c>
      <c r="AP33" s="26">
        <f t="shared" si="21"/>
        <v>0</v>
      </c>
      <c r="AQ33" s="26">
        <f t="shared" si="22"/>
        <v>0</v>
      </c>
      <c r="AR33" s="26">
        <f t="shared" si="22"/>
        <v>0</v>
      </c>
      <c r="AS33" s="126" t="s">
        <v>70</v>
      </c>
      <c r="AT33" s="17">
        <f t="shared" si="6"/>
        <v>0</v>
      </c>
      <c r="AU33" s="17">
        <f t="shared" si="7"/>
        <v>0</v>
      </c>
      <c r="AV33" s="17">
        <f t="shared" si="8"/>
        <v>0</v>
      </c>
      <c r="AW33" s="11">
        <f t="shared" si="9"/>
        <v>0</v>
      </c>
      <c r="AX33" s="11">
        <f t="shared" si="10"/>
        <v>0</v>
      </c>
      <c r="AY33" s="11">
        <f t="shared" si="11"/>
        <v>0</v>
      </c>
      <c r="AZ33" s="11">
        <f t="shared" si="12"/>
        <v>0</v>
      </c>
      <c r="BA33" s="11">
        <f t="shared" si="13"/>
        <v>0</v>
      </c>
      <c r="BB33" s="11">
        <f t="shared" si="14"/>
        <v>0</v>
      </c>
      <c r="BC33" s="11">
        <f t="shared" si="15"/>
        <v>0</v>
      </c>
      <c r="BD33" s="28">
        <f t="shared" si="16"/>
        <v>0</v>
      </c>
      <c r="BE33" s="29">
        <f t="shared" si="17"/>
        <v>0</v>
      </c>
      <c r="BF33" s="11">
        <f t="shared" si="18"/>
        <v>0</v>
      </c>
    </row>
    <row r="34" spans="1:58">
      <c r="A34" s="126" t="s">
        <v>40</v>
      </c>
      <c r="B34" s="126"/>
      <c r="C34" s="31" t="str">
        <f>IF(EXACT('변경(260104_260131)'!C34,'원번표(수정불가)'!C34)=$BS$9,"","변경")</f>
        <v/>
      </c>
      <c r="D34" s="32" t="str">
        <f>IF(EXACT('변경(260104_260131)'!D34,'원번표(수정불가)'!D34)=$BS$9,"","변경")</f>
        <v/>
      </c>
      <c r="E34" s="32" t="str">
        <f>IF(EXACT('변경(260104_260131)'!E34,'원번표(수정불가)'!E34)=$BS$9,"","변경")</f>
        <v/>
      </c>
      <c r="F34" s="32" t="str">
        <f>IF(EXACT('변경(260104_260131)'!F34,'원번표(수정불가)'!F34)=$BS$9,"","변경")</f>
        <v/>
      </c>
      <c r="G34" s="32" t="str">
        <f>IF(EXACT('변경(260104_260131)'!G34,'원번표(수정불가)'!G34)=$BS$9,"","변경")</f>
        <v/>
      </c>
      <c r="H34" s="32" t="str">
        <f>IF(EXACT('변경(260104_260131)'!H34,'원번표(수정불가)'!H34)=$BS$9,"","변경")</f>
        <v/>
      </c>
      <c r="I34" s="73" t="str">
        <f>IF(EXACT('변경(260104_260131)'!I34,'원번표(수정불가)'!I34)=$BS$9,"","변경")</f>
        <v/>
      </c>
      <c r="J34" s="31" t="str">
        <f>IF(EXACT('변경(260104_260131)'!J34,'원번표(수정불가)'!J34)=$BS$9,"","변경")</f>
        <v/>
      </c>
      <c r="K34" s="32" t="str">
        <f>IF(EXACT('변경(260104_260131)'!K34,'원번표(수정불가)'!K34)=$BS$9,"","변경")</f>
        <v/>
      </c>
      <c r="L34" s="32" t="str">
        <f>IF(EXACT('변경(260104_260131)'!L34,'원번표(수정불가)'!L34)=$BS$9,"","변경")</f>
        <v/>
      </c>
      <c r="M34" s="32" t="str">
        <f>IF(EXACT('변경(260104_260131)'!M34,'원번표(수정불가)'!M34)=$BS$9,"","변경")</f>
        <v/>
      </c>
      <c r="N34" s="32" t="str">
        <f>IF(EXACT('변경(260104_260131)'!N34,'원번표(수정불가)'!N34)=$BS$9,"","변경")</f>
        <v/>
      </c>
      <c r="O34" s="32" t="str">
        <f>IF(EXACT('변경(260104_260131)'!O34,'원번표(수정불가)'!O34)=$BS$9,"","변경")</f>
        <v/>
      </c>
      <c r="P34" s="33" t="str">
        <f>IF(EXACT('변경(260104_260131)'!P34,'원번표(수정불가)'!P34)=$BS$9,"","변경")</f>
        <v/>
      </c>
      <c r="Q34" s="61" t="str">
        <f>IF(EXACT('변경(260104_260131)'!Q34,'원번표(수정불가)'!Q34)=$BS$9,"","변경")</f>
        <v/>
      </c>
      <c r="R34" s="32" t="str">
        <f>IF(EXACT('변경(260104_260131)'!R34,'원번표(수정불가)'!R34)=$BS$9,"","변경")</f>
        <v/>
      </c>
      <c r="S34" s="32" t="str">
        <f>IF(EXACT('변경(260104_260131)'!S34,'원번표(수정불가)'!S34)=$BS$9,"","변경")</f>
        <v/>
      </c>
      <c r="T34" s="32" t="str">
        <f>IF(EXACT('변경(260104_260131)'!T34,'원번표(수정불가)'!T34)=$BS$9,"","변경")</f>
        <v/>
      </c>
      <c r="U34" s="32" t="str">
        <f>IF(EXACT('변경(260104_260131)'!U34,'원번표(수정불가)'!U34)=$BS$9,"","변경")</f>
        <v/>
      </c>
      <c r="V34" s="32" t="str">
        <f>IF(EXACT('변경(260104_260131)'!V34,'원번표(수정불가)'!V34)=$BS$9,"","변경")</f>
        <v/>
      </c>
      <c r="W34" s="73" t="str">
        <f>IF(EXACT('변경(260104_260131)'!W34,'원번표(수정불가)'!W34)=$BS$9,"","변경")</f>
        <v/>
      </c>
      <c r="X34" s="31" t="str">
        <f>IF(EXACT('변경(260104_260131)'!X34,'원번표(수정불가)'!X34)=$BS$9,"","변경")</f>
        <v/>
      </c>
      <c r="Y34" s="32" t="str">
        <f>IF(EXACT('변경(260104_260131)'!Y34,'원번표(수정불가)'!Y34)=$BS$9,"","변경")</f>
        <v/>
      </c>
      <c r="Z34" s="32" t="str">
        <f>IF(EXACT('변경(260104_260131)'!Z34,'원번표(수정불가)'!Z34)=$BS$9,"","변경")</f>
        <v/>
      </c>
      <c r="AA34" s="32" t="str">
        <f>IF(EXACT('변경(260104_260131)'!AA34,'원번표(수정불가)'!AA34)=$BS$9,"","변경")</f>
        <v/>
      </c>
      <c r="AB34" s="32" t="str">
        <f>IF(EXACT('변경(260104_260131)'!AB34,'원번표(수정불가)'!AB34)=$BS$9,"","변경")</f>
        <v/>
      </c>
      <c r="AC34" s="32" t="str">
        <f>IF(EXACT('변경(260104_260131)'!AC34,'원번표(수정불가)'!AC34)=$BS$9,"","변경")</f>
        <v/>
      </c>
      <c r="AD34" s="33" t="str">
        <f>IF(EXACT('변경(260104_260131)'!AD34,'원번표(수정불가)'!AD34)=$BS$9,"","변경")</f>
        <v/>
      </c>
      <c r="AE34" s="237">
        <f t="shared" si="0"/>
        <v>0</v>
      </c>
      <c r="AF34" s="201">
        <f t="shared" si="19"/>
        <v>0</v>
      </c>
      <c r="AG34" s="106"/>
      <c r="AH34" s="110"/>
      <c r="AI34" s="106"/>
      <c r="AJ34" s="106"/>
      <c r="AK34" s="175">
        <f t="shared" si="1"/>
        <v>0</v>
      </c>
      <c r="AL34" s="38">
        <f t="shared" si="2"/>
        <v>0</v>
      </c>
      <c r="AM34" s="38">
        <f t="shared" si="20"/>
        <v>0</v>
      </c>
      <c r="AN34" s="38">
        <f t="shared" si="20"/>
        <v>0</v>
      </c>
      <c r="AO34" s="38">
        <f t="shared" si="21"/>
        <v>0</v>
      </c>
      <c r="AP34" s="38">
        <f t="shared" si="21"/>
        <v>0</v>
      </c>
      <c r="AQ34" s="38">
        <f t="shared" si="22"/>
        <v>0</v>
      </c>
      <c r="AR34" s="38">
        <f t="shared" si="22"/>
        <v>0</v>
      </c>
      <c r="AS34" s="126" t="s">
        <v>40</v>
      </c>
      <c r="AT34" s="17">
        <f t="shared" si="6"/>
        <v>0</v>
      </c>
      <c r="AU34" s="17">
        <f t="shared" si="7"/>
        <v>0</v>
      </c>
      <c r="AV34" s="17">
        <f t="shared" si="8"/>
        <v>0</v>
      </c>
      <c r="AW34" s="11">
        <f t="shared" si="9"/>
        <v>0</v>
      </c>
      <c r="AX34" s="11">
        <f t="shared" si="10"/>
        <v>0</v>
      </c>
      <c r="AY34" s="11">
        <f t="shared" si="11"/>
        <v>0</v>
      </c>
      <c r="AZ34" s="11">
        <f t="shared" si="12"/>
        <v>0</v>
      </c>
      <c r="BA34" s="11">
        <f t="shared" si="13"/>
        <v>0</v>
      </c>
      <c r="BB34" s="11">
        <f t="shared" si="14"/>
        <v>0</v>
      </c>
      <c r="BC34" s="11">
        <f t="shared" si="15"/>
        <v>0</v>
      </c>
      <c r="BD34" s="28">
        <f t="shared" si="16"/>
        <v>0</v>
      </c>
      <c r="BE34" s="29">
        <f t="shared" si="17"/>
        <v>0</v>
      </c>
      <c r="BF34" s="11">
        <f t="shared" si="18"/>
        <v>0</v>
      </c>
    </row>
    <row r="35" spans="1:58">
      <c r="A35" s="247" t="s">
        <v>41</v>
      </c>
      <c r="B35" s="126"/>
      <c r="C35" s="31" t="str">
        <f>IF(EXACT('변경(260104_260131)'!C35,'원번표(수정불가)'!C35)=$BS$9,"","변경")</f>
        <v/>
      </c>
      <c r="D35" s="32" t="str">
        <f>IF(EXACT('변경(260104_260131)'!D35,'원번표(수정불가)'!D35)=$BS$9,"","변경")</f>
        <v/>
      </c>
      <c r="E35" s="32" t="str">
        <f>IF(EXACT('변경(260104_260131)'!E35,'원번표(수정불가)'!E35)=$BS$9,"","변경")</f>
        <v/>
      </c>
      <c r="F35" s="32" t="str">
        <f>IF(EXACT('변경(260104_260131)'!F35,'원번표(수정불가)'!F35)=$BS$9,"","변경")</f>
        <v/>
      </c>
      <c r="G35" s="32" t="str">
        <f>IF(EXACT('변경(260104_260131)'!G35,'원번표(수정불가)'!G35)=$BS$9,"","변경")</f>
        <v/>
      </c>
      <c r="H35" s="32" t="str">
        <f>IF(EXACT('변경(260104_260131)'!H35,'원번표(수정불가)'!H35)=$BS$9,"","변경")</f>
        <v/>
      </c>
      <c r="I35" s="73" t="str">
        <f>IF(EXACT('변경(260104_260131)'!I35,'원번표(수정불가)'!I35)=$BS$9,"","변경")</f>
        <v/>
      </c>
      <c r="J35" s="31" t="str">
        <f>IF(EXACT('변경(260104_260131)'!J35,'원번표(수정불가)'!J35)=$BS$9,"","변경")</f>
        <v/>
      </c>
      <c r="K35" s="32" t="str">
        <f>IF(EXACT('변경(260104_260131)'!K35,'원번표(수정불가)'!K35)=$BS$9,"","변경")</f>
        <v/>
      </c>
      <c r="L35" s="32" t="str">
        <f>IF(EXACT('변경(260104_260131)'!L35,'원번표(수정불가)'!L35)=$BS$9,"","변경")</f>
        <v/>
      </c>
      <c r="M35" s="32" t="str">
        <f>IF(EXACT('변경(260104_260131)'!M35,'원번표(수정불가)'!M35)=$BS$9,"","변경")</f>
        <v/>
      </c>
      <c r="N35" s="32" t="str">
        <f>IF(EXACT('변경(260104_260131)'!N35,'원번표(수정불가)'!N35)=$BS$9,"","변경")</f>
        <v/>
      </c>
      <c r="O35" s="32" t="str">
        <f>IF(EXACT('변경(260104_260131)'!O35,'원번표(수정불가)'!O35)=$BS$9,"","변경")</f>
        <v/>
      </c>
      <c r="P35" s="33" t="str">
        <f>IF(EXACT('변경(260104_260131)'!P35,'원번표(수정불가)'!P35)=$BS$9,"","변경")</f>
        <v/>
      </c>
      <c r="Q35" s="61" t="str">
        <f>IF(EXACT('변경(260104_260131)'!Q35,'원번표(수정불가)'!Q35)=$BS$9,"","변경")</f>
        <v/>
      </c>
      <c r="R35" s="32" t="str">
        <f>IF(EXACT('변경(260104_260131)'!R35,'원번표(수정불가)'!R35)=$BS$9,"","변경")</f>
        <v/>
      </c>
      <c r="S35" s="32" t="str">
        <f>IF(EXACT('변경(260104_260131)'!S35,'원번표(수정불가)'!S35)=$BS$9,"","변경")</f>
        <v/>
      </c>
      <c r="T35" s="32" t="str">
        <f>IF(EXACT('변경(260104_260131)'!T35,'원번표(수정불가)'!T35)=$BS$9,"","변경")</f>
        <v/>
      </c>
      <c r="U35" s="32" t="str">
        <f>IF(EXACT('변경(260104_260131)'!U35,'원번표(수정불가)'!U35)=$BS$9,"","변경")</f>
        <v/>
      </c>
      <c r="V35" s="32" t="str">
        <f>IF(EXACT('변경(260104_260131)'!V35,'원번표(수정불가)'!V35)=$BS$9,"","변경")</f>
        <v/>
      </c>
      <c r="W35" s="73" t="str">
        <f>IF(EXACT('변경(260104_260131)'!W35,'원번표(수정불가)'!W35)=$BS$9,"","변경")</f>
        <v/>
      </c>
      <c r="X35" s="31" t="str">
        <f>IF(EXACT('변경(260104_260131)'!X35,'원번표(수정불가)'!X35)=$BS$9,"","변경")</f>
        <v/>
      </c>
      <c r="Y35" s="32" t="str">
        <f>IF(EXACT('변경(260104_260131)'!Y35,'원번표(수정불가)'!Y35)=$BS$9,"","변경")</f>
        <v/>
      </c>
      <c r="Z35" s="32" t="str">
        <f>IF(EXACT('변경(260104_260131)'!Z35,'원번표(수정불가)'!Z35)=$BS$9,"","변경")</f>
        <v/>
      </c>
      <c r="AA35" s="32" t="str">
        <f>IF(EXACT('변경(260104_260131)'!AA35,'원번표(수정불가)'!AA35)=$BS$9,"","변경")</f>
        <v/>
      </c>
      <c r="AB35" s="32" t="str">
        <f>IF(EXACT('변경(260104_260131)'!AB35,'원번표(수정불가)'!AB35)=$BS$9,"","변경")</f>
        <v/>
      </c>
      <c r="AC35" s="32" t="str">
        <f>IF(EXACT('변경(260104_260131)'!AC35,'원번표(수정불가)'!AC35)=$BS$9,"","변경")</f>
        <v/>
      </c>
      <c r="AD35" s="33" t="str">
        <f>IF(EXACT('변경(260104_260131)'!AD35,'원번표(수정불가)'!AD35)=$BS$9,"","변경")</f>
        <v/>
      </c>
      <c r="AE35" s="237">
        <f t="shared" si="0"/>
        <v>0</v>
      </c>
      <c r="AF35" s="201">
        <f t="shared" si="19"/>
        <v>0</v>
      </c>
      <c r="AG35" s="106"/>
      <c r="AH35" s="110"/>
      <c r="AI35" s="106"/>
      <c r="AJ35" s="106"/>
      <c r="AK35" s="176">
        <f t="shared" si="1"/>
        <v>0</v>
      </c>
      <c r="AL35" s="38">
        <f t="shared" si="2"/>
        <v>0</v>
      </c>
      <c r="AM35" s="75">
        <f t="shared" si="20"/>
        <v>0</v>
      </c>
      <c r="AN35" s="75">
        <f t="shared" si="20"/>
        <v>0</v>
      </c>
      <c r="AO35" s="75">
        <f t="shared" si="21"/>
        <v>0</v>
      </c>
      <c r="AP35" s="75">
        <f t="shared" si="21"/>
        <v>0</v>
      </c>
      <c r="AQ35" s="75">
        <f t="shared" si="22"/>
        <v>0</v>
      </c>
      <c r="AR35" s="75">
        <f t="shared" si="22"/>
        <v>0</v>
      </c>
      <c r="AS35" s="247" t="s">
        <v>41</v>
      </c>
      <c r="AT35" s="17">
        <f t="shared" si="6"/>
        <v>0</v>
      </c>
      <c r="AU35" s="17">
        <f t="shared" si="7"/>
        <v>0</v>
      </c>
      <c r="AV35" s="17">
        <f t="shared" si="8"/>
        <v>0</v>
      </c>
      <c r="AW35" s="11">
        <f t="shared" si="9"/>
        <v>0</v>
      </c>
      <c r="AX35" s="11">
        <f t="shared" si="10"/>
        <v>0</v>
      </c>
      <c r="AY35" s="11">
        <f t="shared" si="11"/>
        <v>0</v>
      </c>
      <c r="AZ35" s="11">
        <f t="shared" si="12"/>
        <v>0</v>
      </c>
      <c r="BA35" s="11">
        <f t="shared" si="13"/>
        <v>0</v>
      </c>
      <c r="BB35" s="11">
        <f t="shared" si="14"/>
        <v>0</v>
      </c>
      <c r="BC35" s="11">
        <f t="shared" si="15"/>
        <v>0</v>
      </c>
      <c r="BD35" s="28">
        <f t="shared" si="16"/>
        <v>0</v>
      </c>
      <c r="BE35" s="29">
        <f t="shared" si="17"/>
        <v>0</v>
      </c>
      <c r="BF35" s="11">
        <f t="shared" si="18"/>
        <v>0</v>
      </c>
    </row>
    <row r="36" spans="1:58">
      <c r="A36" s="126" t="s">
        <v>42</v>
      </c>
      <c r="B36" s="126"/>
      <c r="C36" s="31" t="str">
        <f>IF(EXACT('변경(260104_260131)'!C36,'원번표(수정불가)'!C36)=$BS$9,"","변경")</f>
        <v/>
      </c>
      <c r="D36" s="32" t="str">
        <f>IF(EXACT('변경(260104_260131)'!D36,'원번표(수정불가)'!D36)=$BS$9,"","변경")</f>
        <v/>
      </c>
      <c r="E36" s="32" t="str">
        <f>IF(EXACT('변경(260104_260131)'!E36,'원번표(수정불가)'!E36)=$BS$9,"","변경")</f>
        <v/>
      </c>
      <c r="F36" s="32" t="str">
        <f>IF(EXACT('변경(260104_260131)'!F36,'원번표(수정불가)'!F36)=$BS$9,"","변경")</f>
        <v/>
      </c>
      <c r="G36" s="32" t="str">
        <f>IF(EXACT('변경(260104_260131)'!G36,'원번표(수정불가)'!G36)=$BS$9,"","변경")</f>
        <v/>
      </c>
      <c r="H36" s="32" t="str">
        <f>IF(EXACT('변경(260104_260131)'!H36,'원번표(수정불가)'!H36)=$BS$9,"","변경")</f>
        <v/>
      </c>
      <c r="I36" s="73" t="str">
        <f>IF(EXACT('변경(260104_260131)'!I36,'원번표(수정불가)'!I36)=$BS$9,"","변경")</f>
        <v/>
      </c>
      <c r="J36" s="31" t="str">
        <f>IF(EXACT('변경(260104_260131)'!J36,'원번표(수정불가)'!J36)=$BS$9,"","변경")</f>
        <v/>
      </c>
      <c r="K36" s="32" t="str">
        <f>IF(EXACT('변경(260104_260131)'!K36,'원번표(수정불가)'!K36)=$BS$9,"","변경")</f>
        <v/>
      </c>
      <c r="L36" s="32" t="str">
        <f>IF(EXACT('변경(260104_260131)'!L36,'원번표(수정불가)'!L36)=$BS$9,"","변경")</f>
        <v/>
      </c>
      <c r="M36" s="32" t="str">
        <f>IF(EXACT('변경(260104_260131)'!M36,'원번표(수정불가)'!M36)=$BS$9,"","변경")</f>
        <v/>
      </c>
      <c r="N36" s="32" t="str">
        <f>IF(EXACT('변경(260104_260131)'!N36,'원번표(수정불가)'!N36)=$BS$9,"","변경")</f>
        <v/>
      </c>
      <c r="O36" s="32" t="str">
        <f>IF(EXACT('변경(260104_260131)'!O36,'원번표(수정불가)'!O36)=$BS$9,"","변경")</f>
        <v/>
      </c>
      <c r="P36" s="33" t="str">
        <f>IF(EXACT('변경(260104_260131)'!P36,'원번표(수정불가)'!P36)=$BS$9,"","변경")</f>
        <v/>
      </c>
      <c r="Q36" s="61" t="str">
        <f>IF(EXACT('변경(260104_260131)'!Q36,'원번표(수정불가)'!Q36)=$BS$9,"","변경")</f>
        <v/>
      </c>
      <c r="R36" s="32" t="str">
        <f>IF(EXACT('변경(260104_260131)'!R36,'원번표(수정불가)'!R36)=$BS$9,"","변경")</f>
        <v/>
      </c>
      <c r="S36" s="32" t="str">
        <f>IF(EXACT('변경(260104_260131)'!S36,'원번표(수정불가)'!S36)=$BS$9,"","변경")</f>
        <v/>
      </c>
      <c r="T36" s="32" t="str">
        <f>IF(EXACT('변경(260104_260131)'!T36,'원번표(수정불가)'!T36)=$BS$9,"","변경")</f>
        <v/>
      </c>
      <c r="U36" s="32" t="str">
        <f>IF(EXACT('변경(260104_260131)'!U36,'원번표(수정불가)'!U36)=$BS$9,"","변경")</f>
        <v/>
      </c>
      <c r="V36" s="32" t="str">
        <f>IF(EXACT('변경(260104_260131)'!V36,'원번표(수정불가)'!V36)=$BS$9,"","변경")</f>
        <v/>
      </c>
      <c r="W36" s="73" t="str">
        <f>IF(EXACT('변경(260104_260131)'!W36,'원번표(수정불가)'!W36)=$BS$9,"","변경")</f>
        <v/>
      </c>
      <c r="X36" s="31" t="str">
        <f>IF(EXACT('변경(260104_260131)'!X36,'원번표(수정불가)'!X36)=$BS$9,"","변경")</f>
        <v/>
      </c>
      <c r="Y36" s="32" t="str">
        <f>IF(EXACT('변경(260104_260131)'!Y36,'원번표(수정불가)'!Y36)=$BS$9,"","변경")</f>
        <v/>
      </c>
      <c r="Z36" s="32" t="str">
        <f>IF(EXACT('변경(260104_260131)'!Z36,'원번표(수정불가)'!Z36)=$BS$9,"","변경")</f>
        <v/>
      </c>
      <c r="AA36" s="32" t="str">
        <f>IF(EXACT('변경(260104_260131)'!AA36,'원번표(수정불가)'!AA36)=$BS$9,"","변경")</f>
        <v/>
      </c>
      <c r="AB36" s="32" t="str">
        <f>IF(EXACT('변경(260104_260131)'!AB36,'원번표(수정불가)'!AB36)=$BS$9,"","변경")</f>
        <v/>
      </c>
      <c r="AC36" s="32" t="str">
        <f>IF(EXACT('변경(260104_260131)'!AC36,'원번표(수정불가)'!AC36)=$BS$9,"","변경")</f>
        <v/>
      </c>
      <c r="AD36" s="33" t="str">
        <f>IF(EXACT('변경(260104_260131)'!AD36,'원번표(수정불가)'!AD36)=$BS$9,"","변경")</f>
        <v/>
      </c>
      <c r="AE36" s="237">
        <f t="shared" si="0"/>
        <v>0</v>
      </c>
      <c r="AF36" s="201">
        <f t="shared" si="19"/>
        <v>0</v>
      </c>
      <c r="AG36" s="106"/>
      <c r="AH36" s="110"/>
      <c r="AI36" s="106"/>
      <c r="AJ36" s="106"/>
      <c r="AK36" s="176">
        <f t="shared" si="1"/>
        <v>0</v>
      </c>
      <c r="AL36" s="38">
        <f t="shared" si="2"/>
        <v>0</v>
      </c>
      <c r="AM36" s="75">
        <f t="shared" si="20"/>
        <v>0</v>
      </c>
      <c r="AN36" s="75">
        <f t="shared" si="20"/>
        <v>0</v>
      </c>
      <c r="AO36" s="75">
        <f t="shared" si="21"/>
        <v>0</v>
      </c>
      <c r="AP36" s="75">
        <f t="shared" si="21"/>
        <v>0</v>
      </c>
      <c r="AQ36" s="75">
        <f t="shared" si="22"/>
        <v>0</v>
      </c>
      <c r="AR36" s="75">
        <f t="shared" si="22"/>
        <v>0</v>
      </c>
      <c r="AS36" s="126" t="s">
        <v>42</v>
      </c>
      <c r="AT36" s="17">
        <f t="shared" si="6"/>
        <v>0</v>
      </c>
      <c r="AU36" s="17">
        <f t="shared" si="7"/>
        <v>0</v>
      </c>
      <c r="AV36" s="17">
        <f t="shared" si="8"/>
        <v>0</v>
      </c>
      <c r="AW36" s="11">
        <f t="shared" si="9"/>
        <v>0</v>
      </c>
      <c r="AX36" s="11">
        <f t="shared" si="10"/>
        <v>0</v>
      </c>
      <c r="AY36" s="11">
        <f t="shared" si="11"/>
        <v>0</v>
      </c>
      <c r="AZ36" s="11">
        <f t="shared" si="12"/>
        <v>0</v>
      </c>
      <c r="BA36" s="11">
        <f t="shared" si="13"/>
        <v>0</v>
      </c>
      <c r="BB36" s="11">
        <f t="shared" si="14"/>
        <v>0</v>
      </c>
      <c r="BC36" s="11">
        <f t="shared" si="15"/>
        <v>0</v>
      </c>
      <c r="BD36" s="28">
        <f t="shared" si="16"/>
        <v>0</v>
      </c>
      <c r="BE36" s="29">
        <f t="shared" si="17"/>
        <v>0</v>
      </c>
      <c r="BF36" s="11">
        <f t="shared" si="18"/>
        <v>0</v>
      </c>
    </row>
    <row r="37" spans="1:58">
      <c r="A37" s="126" t="s">
        <v>43</v>
      </c>
      <c r="B37" s="126"/>
      <c r="C37" s="31" t="str">
        <f>IF(EXACT('변경(260104_260131)'!C37,'원번표(수정불가)'!C37)=$BS$9,"","변경")</f>
        <v/>
      </c>
      <c r="D37" s="32" t="str">
        <f>IF(EXACT('변경(260104_260131)'!D37,'원번표(수정불가)'!D37)=$BS$9,"","변경")</f>
        <v/>
      </c>
      <c r="E37" s="32" t="str">
        <f>IF(EXACT('변경(260104_260131)'!E37,'원번표(수정불가)'!E37)=$BS$9,"","변경")</f>
        <v/>
      </c>
      <c r="F37" s="32" t="str">
        <f>IF(EXACT('변경(260104_260131)'!F37,'원번표(수정불가)'!F37)=$BS$9,"","변경")</f>
        <v/>
      </c>
      <c r="G37" s="32" t="str">
        <f>IF(EXACT('변경(260104_260131)'!G37,'원번표(수정불가)'!G37)=$BS$9,"","변경")</f>
        <v/>
      </c>
      <c r="H37" s="32" t="str">
        <f>IF(EXACT('변경(260104_260131)'!H37,'원번표(수정불가)'!H37)=$BS$9,"","변경")</f>
        <v/>
      </c>
      <c r="I37" s="73" t="str">
        <f>IF(EXACT('변경(260104_260131)'!I37,'원번표(수정불가)'!I37)=$BS$9,"","변경")</f>
        <v/>
      </c>
      <c r="J37" s="31" t="str">
        <f>IF(EXACT('변경(260104_260131)'!J37,'원번표(수정불가)'!J37)=$BS$9,"","변경")</f>
        <v/>
      </c>
      <c r="K37" s="32" t="str">
        <f>IF(EXACT('변경(260104_260131)'!K37,'원번표(수정불가)'!K37)=$BS$9,"","변경")</f>
        <v/>
      </c>
      <c r="L37" s="32" t="str">
        <f>IF(EXACT('변경(260104_260131)'!L37,'원번표(수정불가)'!L37)=$BS$9,"","변경")</f>
        <v/>
      </c>
      <c r="M37" s="32" t="str">
        <f>IF(EXACT('변경(260104_260131)'!M37,'원번표(수정불가)'!M37)=$BS$9,"","변경")</f>
        <v/>
      </c>
      <c r="N37" s="32" t="str">
        <f>IF(EXACT('변경(260104_260131)'!N37,'원번표(수정불가)'!N37)=$BS$9,"","변경")</f>
        <v/>
      </c>
      <c r="O37" s="32" t="str">
        <f>IF(EXACT('변경(260104_260131)'!O37,'원번표(수정불가)'!O37)=$BS$9,"","변경")</f>
        <v/>
      </c>
      <c r="P37" s="33" t="str">
        <f>IF(EXACT('변경(260104_260131)'!P37,'원번표(수정불가)'!P37)=$BS$9,"","변경")</f>
        <v/>
      </c>
      <c r="Q37" s="61" t="str">
        <f>IF(EXACT('변경(260104_260131)'!Q37,'원번표(수정불가)'!Q37)=$BS$9,"","변경")</f>
        <v/>
      </c>
      <c r="R37" s="32" t="str">
        <f>IF(EXACT('변경(260104_260131)'!R37,'원번표(수정불가)'!R37)=$BS$9,"","변경")</f>
        <v/>
      </c>
      <c r="S37" s="32" t="str">
        <f>IF(EXACT('변경(260104_260131)'!S37,'원번표(수정불가)'!S37)=$BS$9,"","변경")</f>
        <v/>
      </c>
      <c r="T37" s="32" t="str">
        <f>IF(EXACT('변경(260104_260131)'!T37,'원번표(수정불가)'!T37)=$BS$9,"","변경")</f>
        <v/>
      </c>
      <c r="U37" s="32" t="str">
        <f>IF(EXACT('변경(260104_260131)'!U37,'원번표(수정불가)'!U37)=$BS$9,"","변경")</f>
        <v/>
      </c>
      <c r="V37" s="32" t="str">
        <f>IF(EXACT('변경(260104_260131)'!V37,'원번표(수정불가)'!V37)=$BS$9,"","변경")</f>
        <v/>
      </c>
      <c r="W37" s="73" t="str">
        <f>IF(EXACT('변경(260104_260131)'!W37,'원번표(수정불가)'!W37)=$BS$9,"","변경")</f>
        <v/>
      </c>
      <c r="X37" s="31" t="str">
        <f>IF(EXACT('변경(260104_260131)'!X37,'원번표(수정불가)'!X37)=$BS$9,"","변경")</f>
        <v/>
      </c>
      <c r="Y37" s="32" t="str">
        <f>IF(EXACT('변경(260104_260131)'!Y37,'원번표(수정불가)'!Y37)=$BS$9,"","변경")</f>
        <v/>
      </c>
      <c r="Z37" s="32" t="str">
        <f>IF(EXACT('변경(260104_260131)'!Z37,'원번표(수정불가)'!Z37)=$BS$9,"","변경")</f>
        <v/>
      </c>
      <c r="AA37" s="32" t="str">
        <f>IF(EXACT('변경(260104_260131)'!AA37,'원번표(수정불가)'!AA37)=$BS$9,"","변경")</f>
        <v/>
      </c>
      <c r="AB37" s="32" t="str">
        <f>IF(EXACT('변경(260104_260131)'!AB37,'원번표(수정불가)'!AB37)=$BS$9,"","변경")</f>
        <v/>
      </c>
      <c r="AC37" s="32" t="str">
        <f>IF(EXACT('변경(260104_260131)'!AC37,'원번표(수정불가)'!AC37)=$BS$9,"","변경")</f>
        <v/>
      </c>
      <c r="AD37" s="33" t="str">
        <f>IF(EXACT('변경(260104_260131)'!AD37,'원번표(수정불가)'!AD37)=$BS$9,"","변경")</f>
        <v/>
      </c>
      <c r="AE37" s="237">
        <f t="shared" si="0"/>
        <v>0</v>
      </c>
      <c r="AF37" s="201">
        <f t="shared" si="19"/>
        <v>0</v>
      </c>
      <c r="AG37" s="106"/>
      <c r="AH37" s="110"/>
      <c r="AI37" s="106"/>
      <c r="AJ37" s="106"/>
      <c r="AK37" s="176">
        <f t="shared" si="1"/>
        <v>0</v>
      </c>
      <c r="AL37" s="38">
        <f t="shared" si="2"/>
        <v>0</v>
      </c>
      <c r="AM37" s="75">
        <f t="shared" si="20"/>
        <v>0</v>
      </c>
      <c r="AN37" s="75">
        <f t="shared" si="20"/>
        <v>0</v>
      </c>
      <c r="AO37" s="75">
        <f t="shared" si="21"/>
        <v>0</v>
      </c>
      <c r="AP37" s="75">
        <f t="shared" si="21"/>
        <v>0</v>
      </c>
      <c r="AQ37" s="75">
        <f t="shared" si="22"/>
        <v>0</v>
      </c>
      <c r="AR37" s="75">
        <f t="shared" si="22"/>
        <v>0</v>
      </c>
      <c r="AS37" s="126" t="s">
        <v>43</v>
      </c>
      <c r="AT37" s="17">
        <f t="shared" si="6"/>
        <v>0</v>
      </c>
      <c r="AU37" s="17">
        <f t="shared" si="7"/>
        <v>0</v>
      </c>
      <c r="AV37" s="17">
        <f t="shared" si="8"/>
        <v>0</v>
      </c>
      <c r="AW37" s="11">
        <f t="shared" si="9"/>
        <v>0</v>
      </c>
      <c r="AX37" s="11">
        <f t="shared" si="10"/>
        <v>0</v>
      </c>
      <c r="AY37" s="11">
        <f t="shared" si="11"/>
        <v>0</v>
      </c>
      <c r="AZ37" s="11">
        <f t="shared" si="12"/>
        <v>0</v>
      </c>
      <c r="BA37" s="11">
        <f t="shared" si="13"/>
        <v>0</v>
      </c>
      <c r="BB37" s="11">
        <f t="shared" si="14"/>
        <v>0</v>
      </c>
      <c r="BC37" s="11">
        <f t="shared" si="15"/>
        <v>0</v>
      </c>
      <c r="BD37" s="28">
        <f t="shared" si="16"/>
        <v>0</v>
      </c>
      <c r="BE37" s="29">
        <f t="shared" si="17"/>
        <v>0</v>
      </c>
      <c r="BF37" s="11">
        <f t="shared" si="18"/>
        <v>0</v>
      </c>
    </row>
    <row r="38" spans="1:58">
      <c r="A38" s="126" t="s">
        <v>44</v>
      </c>
      <c r="B38" s="125"/>
      <c r="C38" s="31" t="str">
        <f>IF(EXACT('변경(260104_260131)'!C38,'원번표(수정불가)'!C38)=$BS$9,"","변경")</f>
        <v/>
      </c>
      <c r="D38" s="32" t="str">
        <f>IF(EXACT('변경(260104_260131)'!D38,'원번표(수정불가)'!D38)=$BS$9,"","변경")</f>
        <v/>
      </c>
      <c r="E38" s="32" t="str">
        <f>IF(EXACT('변경(260104_260131)'!E38,'원번표(수정불가)'!E38)=$BS$9,"","변경")</f>
        <v/>
      </c>
      <c r="F38" s="32" t="str">
        <f>IF(EXACT('변경(260104_260131)'!F38,'원번표(수정불가)'!F38)=$BS$9,"","변경")</f>
        <v/>
      </c>
      <c r="G38" s="32" t="str">
        <f>IF(EXACT('변경(260104_260131)'!G38,'원번표(수정불가)'!G38)=$BS$9,"","변경")</f>
        <v/>
      </c>
      <c r="H38" s="32" t="str">
        <f>IF(EXACT('변경(260104_260131)'!H38,'원번표(수정불가)'!H38)=$BS$9,"","변경")</f>
        <v/>
      </c>
      <c r="I38" s="73" t="str">
        <f>IF(EXACT('변경(260104_260131)'!I38,'원번표(수정불가)'!I38)=$BS$9,"","변경")</f>
        <v/>
      </c>
      <c r="J38" s="31" t="str">
        <f>IF(EXACT('변경(260104_260131)'!J38,'원번표(수정불가)'!J38)=$BS$9,"","변경")</f>
        <v/>
      </c>
      <c r="K38" s="32" t="str">
        <f>IF(EXACT('변경(260104_260131)'!K38,'원번표(수정불가)'!K38)=$BS$9,"","변경")</f>
        <v/>
      </c>
      <c r="L38" s="32" t="str">
        <f>IF(EXACT('변경(260104_260131)'!L38,'원번표(수정불가)'!L38)=$BS$9,"","변경")</f>
        <v/>
      </c>
      <c r="M38" s="32" t="str">
        <f>IF(EXACT('변경(260104_260131)'!M38,'원번표(수정불가)'!M38)=$BS$9,"","변경")</f>
        <v/>
      </c>
      <c r="N38" s="32" t="str">
        <f>IF(EXACT('변경(260104_260131)'!N38,'원번표(수정불가)'!N38)=$BS$9,"","변경")</f>
        <v/>
      </c>
      <c r="O38" s="32" t="str">
        <f>IF(EXACT('변경(260104_260131)'!O38,'원번표(수정불가)'!O38)=$BS$9,"","변경")</f>
        <v/>
      </c>
      <c r="P38" s="33" t="str">
        <f>IF(EXACT('변경(260104_260131)'!P38,'원번표(수정불가)'!P38)=$BS$9,"","변경")</f>
        <v/>
      </c>
      <c r="Q38" s="61" t="str">
        <f>IF(EXACT('변경(260104_260131)'!Q38,'원번표(수정불가)'!Q38)=$BS$9,"","변경")</f>
        <v/>
      </c>
      <c r="R38" s="32" t="str">
        <f>IF(EXACT('변경(260104_260131)'!R38,'원번표(수정불가)'!R38)=$BS$9,"","변경")</f>
        <v/>
      </c>
      <c r="S38" s="32" t="str">
        <f>IF(EXACT('변경(260104_260131)'!S38,'원번표(수정불가)'!S38)=$BS$9,"","변경")</f>
        <v/>
      </c>
      <c r="T38" s="32" t="str">
        <f>IF(EXACT('변경(260104_260131)'!T38,'원번표(수정불가)'!T38)=$BS$9,"","변경")</f>
        <v/>
      </c>
      <c r="U38" s="32" t="str">
        <f>IF(EXACT('변경(260104_260131)'!U38,'원번표(수정불가)'!U38)=$BS$9,"","변경")</f>
        <v/>
      </c>
      <c r="V38" s="32" t="str">
        <f>IF(EXACT('변경(260104_260131)'!V38,'원번표(수정불가)'!V38)=$BS$9,"","변경")</f>
        <v/>
      </c>
      <c r="W38" s="73" t="str">
        <f>IF(EXACT('변경(260104_260131)'!W38,'원번표(수정불가)'!W38)=$BS$9,"","변경")</f>
        <v/>
      </c>
      <c r="X38" s="31" t="str">
        <f>IF(EXACT('변경(260104_260131)'!X38,'원번표(수정불가)'!X38)=$BS$9,"","변경")</f>
        <v/>
      </c>
      <c r="Y38" s="32" t="str">
        <f>IF(EXACT('변경(260104_260131)'!Y38,'원번표(수정불가)'!Y38)=$BS$9,"","변경")</f>
        <v/>
      </c>
      <c r="Z38" s="32" t="str">
        <f>IF(EXACT('변경(260104_260131)'!Z38,'원번표(수정불가)'!Z38)=$BS$9,"","변경")</f>
        <v/>
      </c>
      <c r="AA38" s="32" t="str">
        <f>IF(EXACT('변경(260104_260131)'!AA38,'원번표(수정불가)'!AA38)=$BS$9,"","변경")</f>
        <v/>
      </c>
      <c r="AB38" s="32" t="str">
        <f>IF(EXACT('변경(260104_260131)'!AB38,'원번표(수정불가)'!AB38)=$BS$9,"","변경")</f>
        <v/>
      </c>
      <c r="AC38" s="32" t="str">
        <f>IF(EXACT('변경(260104_260131)'!AC38,'원번표(수정불가)'!AC38)=$BS$9,"","변경")</f>
        <v/>
      </c>
      <c r="AD38" s="33" t="str">
        <f>IF(EXACT('변경(260104_260131)'!AD38,'원번표(수정불가)'!AD38)=$BS$9,"","변경")</f>
        <v/>
      </c>
      <c r="AE38" s="237">
        <f t="shared" si="0"/>
        <v>0</v>
      </c>
      <c r="AF38" s="201">
        <f t="shared" si="19"/>
        <v>0</v>
      </c>
      <c r="AG38" s="106"/>
      <c r="AH38" s="110"/>
      <c r="AI38" s="106"/>
      <c r="AJ38" s="106"/>
      <c r="AK38" s="176">
        <f t="shared" si="1"/>
        <v>0</v>
      </c>
      <c r="AL38" s="38">
        <f t="shared" si="2"/>
        <v>0</v>
      </c>
      <c r="AM38" s="75">
        <f t="shared" si="20"/>
        <v>0</v>
      </c>
      <c r="AN38" s="75">
        <f t="shared" si="20"/>
        <v>0</v>
      </c>
      <c r="AO38" s="75">
        <f t="shared" si="21"/>
        <v>0</v>
      </c>
      <c r="AP38" s="75">
        <f t="shared" si="21"/>
        <v>0</v>
      </c>
      <c r="AQ38" s="75">
        <f t="shared" si="22"/>
        <v>0</v>
      </c>
      <c r="AR38" s="75">
        <f t="shared" si="22"/>
        <v>0</v>
      </c>
      <c r="AS38" s="126" t="s">
        <v>44</v>
      </c>
      <c r="AT38" s="17">
        <f t="shared" si="6"/>
        <v>0</v>
      </c>
      <c r="AU38" s="17">
        <f t="shared" si="7"/>
        <v>0</v>
      </c>
      <c r="AV38" s="17">
        <f t="shared" si="8"/>
        <v>0</v>
      </c>
      <c r="AW38" s="11">
        <f t="shared" si="9"/>
        <v>0</v>
      </c>
      <c r="AX38" s="11">
        <f t="shared" si="10"/>
        <v>0</v>
      </c>
      <c r="AY38" s="11">
        <f t="shared" si="11"/>
        <v>0</v>
      </c>
      <c r="AZ38" s="11">
        <f t="shared" si="12"/>
        <v>0</v>
      </c>
      <c r="BA38" s="11">
        <f t="shared" si="13"/>
        <v>0</v>
      </c>
      <c r="BB38" s="11">
        <f t="shared" si="14"/>
        <v>0</v>
      </c>
      <c r="BC38" s="11">
        <f t="shared" si="15"/>
        <v>0</v>
      </c>
      <c r="BD38" s="28">
        <f t="shared" si="16"/>
        <v>0</v>
      </c>
      <c r="BE38" s="29">
        <f t="shared" si="17"/>
        <v>0</v>
      </c>
      <c r="BF38" s="11">
        <f t="shared" si="18"/>
        <v>0</v>
      </c>
    </row>
    <row r="39" spans="1:58">
      <c r="A39" s="126" t="s">
        <v>45</v>
      </c>
      <c r="B39" s="125"/>
      <c r="C39" s="31" t="str">
        <f>IF(EXACT('변경(260104_260131)'!C39,'원번표(수정불가)'!C39)=$BS$9,"","변경")</f>
        <v/>
      </c>
      <c r="D39" s="32" t="str">
        <f>IF(EXACT('변경(260104_260131)'!D39,'원번표(수정불가)'!D39)=$BS$9,"","변경")</f>
        <v/>
      </c>
      <c r="E39" s="32" t="str">
        <f>IF(EXACT('변경(260104_260131)'!E39,'원번표(수정불가)'!E39)=$BS$9,"","변경")</f>
        <v/>
      </c>
      <c r="F39" s="32" t="str">
        <f>IF(EXACT('변경(260104_260131)'!F39,'원번표(수정불가)'!F39)=$BS$9,"","변경")</f>
        <v/>
      </c>
      <c r="G39" s="32" t="str">
        <f>IF(EXACT('변경(260104_260131)'!G39,'원번표(수정불가)'!G39)=$BS$9,"","변경")</f>
        <v/>
      </c>
      <c r="H39" s="32" t="str">
        <f>IF(EXACT('변경(260104_260131)'!H39,'원번표(수정불가)'!H39)=$BS$9,"","변경")</f>
        <v/>
      </c>
      <c r="I39" s="73" t="str">
        <f>IF(EXACT('변경(260104_260131)'!I39,'원번표(수정불가)'!I39)=$BS$9,"","변경")</f>
        <v/>
      </c>
      <c r="J39" s="31" t="str">
        <f>IF(EXACT('변경(260104_260131)'!J39,'원번표(수정불가)'!J39)=$BS$9,"","변경")</f>
        <v/>
      </c>
      <c r="K39" s="32" t="str">
        <f>IF(EXACT('변경(260104_260131)'!K39,'원번표(수정불가)'!K39)=$BS$9,"","변경")</f>
        <v/>
      </c>
      <c r="L39" s="32" t="str">
        <f>IF(EXACT('변경(260104_260131)'!L39,'원번표(수정불가)'!L39)=$BS$9,"","변경")</f>
        <v/>
      </c>
      <c r="M39" s="32" t="str">
        <f>IF(EXACT('변경(260104_260131)'!M39,'원번표(수정불가)'!M39)=$BS$9,"","변경")</f>
        <v/>
      </c>
      <c r="N39" s="32" t="str">
        <f>IF(EXACT('변경(260104_260131)'!N39,'원번표(수정불가)'!N39)=$BS$9,"","변경")</f>
        <v/>
      </c>
      <c r="O39" s="32" t="str">
        <f>IF(EXACT('변경(260104_260131)'!O39,'원번표(수정불가)'!O39)=$BS$9,"","변경")</f>
        <v/>
      </c>
      <c r="P39" s="33" t="str">
        <f>IF(EXACT('변경(260104_260131)'!P39,'원번표(수정불가)'!P39)=$BS$9,"","변경")</f>
        <v/>
      </c>
      <c r="Q39" s="61" t="str">
        <f>IF(EXACT('변경(260104_260131)'!Q39,'원번표(수정불가)'!Q39)=$BS$9,"","변경")</f>
        <v/>
      </c>
      <c r="R39" s="32" t="str">
        <f>IF(EXACT('변경(260104_260131)'!R39,'원번표(수정불가)'!R39)=$BS$9,"","변경")</f>
        <v/>
      </c>
      <c r="S39" s="32" t="str">
        <f>IF(EXACT('변경(260104_260131)'!S39,'원번표(수정불가)'!S39)=$BS$9,"","변경")</f>
        <v/>
      </c>
      <c r="T39" s="32" t="str">
        <f>IF(EXACT('변경(260104_260131)'!T39,'원번표(수정불가)'!T39)=$BS$9,"","변경")</f>
        <v/>
      </c>
      <c r="U39" s="32" t="str">
        <f>IF(EXACT('변경(260104_260131)'!U39,'원번표(수정불가)'!U39)=$BS$9,"","변경")</f>
        <v/>
      </c>
      <c r="V39" s="32" t="str">
        <f>IF(EXACT('변경(260104_260131)'!V39,'원번표(수정불가)'!V39)=$BS$9,"","변경")</f>
        <v/>
      </c>
      <c r="W39" s="73" t="str">
        <f>IF(EXACT('변경(260104_260131)'!W39,'원번표(수정불가)'!W39)=$BS$9,"","변경")</f>
        <v/>
      </c>
      <c r="X39" s="31" t="str">
        <f>IF(EXACT('변경(260104_260131)'!X39,'원번표(수정불가)'!X39)=$BS$9,"","변경")</f>
        <v/>
      </c>
      <c r="Y39" s="32" t="str">
        <f>IF(EXACT('변경(260104_260131)'!Y39,'원번표(수정불가)'!Y39)=$BS$9,"","변경")</f>
        <v/>
      </c>
      <c r="Z39" s="32" t="str">
        <f>IF(EXACT('변경(260104_260131)'!Z39,'원번표(수정불가)'!Z39)=$BS$9,"","변경")</f>
        <v/>
      </c>
      <c r="AA39" s="32" t="str">
        <f>IF(EXACT('변경(260104_260131)'!AA39,'원번표(수정불가)'!AA39)=$BS$9,"","변경")</f>
        <v/>
      </c>
      <c r="AB39" s="32" t="str">
        <f>IF(EXACT('변경(260104_260131)'!AB39,'원번표(수정불가)'!AB39)=$BS$9,"","변경")</f>
        <v/>
      </c>
      <c r="AC39" s="32" t="str">
        <f>IF(EXACT('변경(260104_260131)'!AC39,'원번표(수정불가)'!AC39)=$BS$9,"","변경")</f>
        <v/>
      </c>
      <c r="AD39" s="33" t="str">
        <f>IF(EXACT('변경(260104_260131)'!AD39,'원번표(수정불가)'!AD39)=$BS$9,"","변경")</f>
        <v/>
      </c>
      <c r="AE39" s="237">
        <f t="shared" si="0"/>
        <v>0</v>
      </c>
      <c r="AF39" s="201">
        <f t="shared" si="19"/>
        <v>0</v>
      </c>
      <c r="AG39" s="106"/>
      <c r="AH39" s="110"/>
      <c r="AI39" s="106"/>
      <c r="AJ39" s="106"/>
      <c r="AK39" s="176">
        <f>COUNTIF($C39:$I39,AK$6)</f>
        <v>0</v>
      </c>
      <c r="AL39" s="38">
        <f>COUNTIF($C39:$I39,AL$6&amp;"*")</f>
        <v>0</v>
      </c>
      <c r="AM39" s="75">
        <f>COUNTIF($J39:$P39,AM$6)</f>
        <v>0</v>
      </c>
      <c r="AN39" s="75">
        <f>COUNTIF($J39:$P39,AN$6)</f>
        <v>0</v>
      </c>
      <c r="AO39" s="75">
        <f>COUNTIF($Q39:$W39,AO$6)</f>
        <v>0</v>
      </c>
      <c r="AP39" s="75">
        <f>COUNTIF($Q39:$W39,AP$6)</f>
        <v>0</v>
      </c>
      <c r="AQ39" s="75">
        <f>COUNTIF($X39:$AD39,AQ$6)</f>
        <v>0</v>
      </c>
      <c r="AR39" s="75">
        <f>COUNTIF($X39:$AD39,AR$6)</f>
        <v>0</v>
      </c>
      <c r="AS39" s="126" t="s">
        <v>45</v>
      </c>
      <c r="AT39" s="17">
        <f t="shared" si="6"/>
        <v>0</v>
      </c>
      <c r="AU39" s="17">
        <f t="shared" si="7"/>
        <v>0</v>
      </c>
      <c r="AV39" s="17">
        <f t="shared" si="8"/>
        <v>0</v>
      </c>
      <c r="AW39" s="11">
        <f t="shared" si="9"/>
        <v>0</v>
      </c>
      <c r="AX39" s="11">
        <f t="shared" si="10"/>
        <v>0</v>
      </c>
      <c r="AY39" s="11">
        <f t="shared" si="11"/>
        <v>0</v>
      </c>
      <c r="AZ39" s="11">
        <f t="shared" si="12"/>
        <v>0</v>
      </c>
      <c r="BA39" s="11">
        <f t="shared" si="13"/>
        <v>0</v>
      </c>
      <c r="BB39" s="11">
        <f t="shared" si="14"/>
        <v>0</v>
      </c>
      <c r="BC39" s="11">
        <f t="shared" si="15"/>
        <v>0</v>
      </c>
      <c r="BD39" s="28">
        <f t="shared" si="16"/>
        <v>0</v>
      </c>
      <c r="BE39" s="29">
        <f t="shared" si="17"/>
        <v>0</v>
      </c>
      <c r="BF39" s="11">
        <f t="shared" si="18"/>
        <v>0</v>
      </c>
    </row>
    <row r="40" spans="1:58">
      <c r="A40" s="126" t="s">
        <v>46</v>
      </c>
      <c r="B40" s="125"/>
      <c r="C40" s="31" t="str">
        <f>IF(EXACT('변경(260104_260131)'!C40,'원번표(수정불가)'!C40)=$BS$9,"","변경")</f>
        <v/>
      </c>
      <c r="D40" s="32" t="str">
        <f>IF(EXACT('변경(260104_260131)'!D40,'원번표(수정불가)'!D40)=$BS$9,"","변경")</f>
        <v/>
      </c>
      <c r="E40" s="32" t="str">
        <f>IF(EXACT('변경(260104_260131)'!E40,'원번표(수정불가)'!E40)=$BS$9,"","변경")</f>
        <v/>
      </c>
      <c r="F40" s="32" t="str">
        <f>IF(EXACT('변경(260104_260131)'!F40,'원번표(수정불가)'!F40)=$BS$9,"","변경")</f>
        <v/>
      </c>
      <c r="G40" s="32" t="str">
        <f>IF(EXACT('변경(260104_260131)'!G40,'원번표(수정불가)'!G40)=$BS$9,"","변경")</f>
        <v/>
      </c>
      <c r="H40" s="32" t="str">
        <f>IF(EXACT('변경(260104_260131)'!H40,'원번표(수정불가)'!H40)=$BS$9,"","변경")</f>
        <v/>
      </c>
      <c r="I40" s="73" t="str">
        <f>IF(EXACT('변경(260104_260131)'!I40,'원번표(수정불가)'!I40)=$BS$9,"","변경")</f>
        <v/>
      </c>
      <c r="J40" s="31" t="str">
        <f>IF(EXACT('변경(260104_260131)'!J40,'원번표(수정불가)'!J40)=$BS$9,"","변경")</f>
        <v/>
      </c>
      <c r="K40" s="32" t="str">
        <f>IF(EXACT('변경(260104_260131)'!K40,'원번표(수정불가)'!K40)=$BS$9,"","변경")</f>
        <v/>
      </c>
      <c r="L40" s="32" t="str">
        <f>IF(EXACT('변경(260104_260131)'!L40,'원번표(수정불가)'!L40)=$BS$9,"","변경")</f>
        <v/>
      </c>
      <c r="M40" s="32" t="str">
        <f>IF(EXACT('변경(260104_260131)'!M40,'원번표(수정불가)'!M40)=$BS$9,"","변경")</f>
        <v/>
      </c>
      <c r="N40" s="32" t="str">
        <f>IF(EXACT('변경(260104_260131)'!N40,'원번표(수정불가)'!N40)=$BS$9,"","변경")</f>
        <v/>
      </c>
      <c r="O40" s="32" t="str">
        <f>IF(EXACT('변경(260104_260131)'!O40,'원번표(수정불가)'!O40)=$BS$9,"","변경")</f>
        <v/>
      </c>
      <c r="P40" s="33" t="str">
        <f>IF(EXACT('변경(260104_260131)'!P40,'원번표(수정불가)'!P40)=$BS$9,"","변경")</f>
        <v/>
      </c>
      <c r="Q40" s="61" t="str">
        <f>IF(EXACT('변경(260104_260131)'!Q40,'원번표(수정불가)'!Q40)=$BS$9,"","변경")</f>
        <v/>
      </c>
      <c r="R40" s="32" t="str">
        <f>IF(EXACT('변경(260104_260131)'!R40,'원번표(수정불가)'!R40)=$BS$9,"","변경")</f>
        <v/>
      </c>
      <c r="S40" s="32" t="str">
        <f>IF(EXACT('변경(260104_260131)'!S40,'원번표(수정불가)'!S40)=$BS$9,"","변경")</f>
        <v/>
      </c>
      <c r="T40" s="32" t="str">
        <f>IF(EXACT('변경(260104_260131)'!T40,'원번표(수정불가)'!T40)=$BS$9,"","변경")</f>
        <v/>
      </c>
      <c r="U40" s="32" t="str">
        <f>IF(EXACT('변경(260104_260131)'!U40,'원번표(수정불가)'!U40)=$BS$9,"","변경")</f>
        <v/>
      </c>
      <c r="V40" s="32" t="str">
        <f>IF(EXACT('변경(260104_260131)'!V40,'원번표(수정불가)'!V40)=$BS$9,"","변경")</f>
        <v/>
      </c>
      <c r="W40" s="73" t="str">
        <f>IF(EXACT('변경(260104_260131)'!W40,'원번표(수정불가)'!W40)=$BS$9,"","변경")</f>
        <v/>
      </c>
      <c r="X40" s="31" t="str">
        <f>IF(EXACT('변경(260104_260131)'!X40,'원번표(수정불가)'!X40)=$BS$9,"","변경")</f>
        <v/>
      </c>
      <c r="Y40" s="32" t="str">
        <f>IF(EXACT('변경(260104_260131)'!Y40,'원번표(수정불가)'!Y40)=$BS$9,"","변경")</f>
        <v/>
      </c>
      <c r="Z40" s="32" t="str">
        <f>IF(EXACT('변경(260104_260131)'!Z40,'원번표(수정불가)'!Z40)=$BS$9,"","변경")</f>
        <v/>
      </c>
      <c r="AA40" s="32" t="str">
        <f>IF(EXACT('변경(260104_260131)'!AA40,'원번표(수정불가)'!AA40)=$BS$9,"","변경")</f>
        <v/>
      </c>
      <c r="AB40" s="32" t="str">
        <f>IF(EXACT('변경(260104_260131)'!AB40,'원번표(수정불가)'!AB40)=$BS$9,"","변경")</f>
        <v/>
      </c>
      <c r="AC40" s="32" t="str">
        <f>IF(EXACT('변경(260104_260131)'!AC40,'원번표(수정불가)'!AC40)=$BS$9,"","변경")</f>
        <v/>
      </c>
      <c r="AD40" s="33" t="str">
        <f>IF(EXACT('변경(260104_260131)'!AD40,'원번표(수정불가)'!AD40)=$BS$9,"","변경")</f>
        <v/>
      </c>
      <c r="AE40" s="237">
        <f t="shared" si="0"/>
        <v>0</v>
      </c>
      <c r="AF40" s="201">
        <f t="shared" si="19"/>
        <v>0</v>
      </c>
      <c r="AG40" s="106"/>
      <c r="AH40" s="110"/>
      <c r="AI40" s="106"/>
      <c r="AJ40" s="106"/>
      <c r="AK40" s="176">
        <f>COUNTIF($C40:$I40,AK$6)</f>
        <v>0</v>
      </c>
      <c r="AL40" s="38">
        <f>COUNTIF($C40:$I40,AL$6&amp;"*")</f>
        <v>0</v>
      </c>
      <c r="AM40" s="75">
        <f>COUNTIF($J40:$P40,AM$6)</f>
        <v>0</v>
      </c>
      <c r="AN40" s="75">
        <f>COUNTIF($J40:$P40,AN$6)</f>
        <v>0</v>
      </c>
      <c r="AO40" s="75">
        <f>COUNTIF($Q40:$W40,AO$6)</f>
        <v>0</v>
      </c>
      <c r="AP40" s="75">
        <f>COUNTIF($Q40:$W40,AP$6)</f>
        <v>0</v>
      </c>
      <c r="AQ40" s="75">
        <f>COUNTIF($X40:$AD40,AQ$6)</f>
        <v>0</v>
      </c>
      <c r="AR40" s="75">
        <f>COUNTIF($X40:$AD40,AR$6)</f>
        <v>0</v>
      </c>
      <c r="AS40" s="126" t="s">
        <v>46</v>
      </c>
      <c r="AT40" s="17">
        <f t="shared" si="6"/>
        <v>0</v>
      </c>
      <c r="AU40" s="17">
        <f t="shared" si="7"/>
        <v>0</v>
      </c>
      <c r="AV40" s="17">
        <f t="shared" si="8"/>
        <v>0</v>
      </c>
      <c r="AW40" s="11">
        <f t="shared" si="9"/>
        <v>0</v>
      </c>
      <c r="AX40" s="11">
        <f t="shared" si="10"/>
        <v>0</v>
      </c>
      <c r="AY40" s="11">
        <f t="shared" si="11"/>
        <v>0</v>
      </c>
      <c r="AZ40" s="11">
        <f t="shared" si="12"/>
        <v>0</v>
      </c>
      <c r="BA40" s="11">
        <f t="shared" si="13"/>
        <v>0</v>
      </c>
      <c r="BB40" s="11">
        <f t="shared" si="14"/>
        <v>0</v>
      </c>
      <c r="BC40" s="11">
        <f t="shared" si="15"/>
        <v>0</v>
      </c>
      <c r="BD40" s="28">
        <f t="shared" si="16"/>
        <v>0</v>
      </c>
      <c r="BE40" s="29">
        <f t="shared" si="17"/>
        <v>0</v>
      </c>
      <c r="BF40" s="11">
        <f t="shared" si="18"/>
        <v>0</v>
      </c>
    </row>
    <row r="41" spans="1:58">
      <c r="A41" s="126" t="s">
        <v>47</v>
      </c>
      <c r="B41" s="125"/>
      <c r="C41" s="31" t="str">
        <f>IF(EXACT('변경(260104_260131)'!C41,'원번표(수정불가)'!C41)=$BS$9,"","변경")</f>
        <v/>
      </c>
      <c r="D41" s="32" t="str">
        <f>IF(EXACT('변경(260104_260131)'!D41,'원번표(수정불가)'!D41)=$BS$9,"","변경")</f>
        <v/>
      </c>
      <c r="E41" s="32" t="str">
        <f>IF(EXACT('변경(260104_260131)'!E41,'원번표(수정불가)'!E41)=$BS$9,"","변경")</f>
        <v/>
      </c>
      <c r="F41" s="32" t="str">
        <f>IF(EXACT('변경(260104_260131)'!F41,'원번표(수정불가)'!F41)=$BS$9,"","변경")</f>
        <v/>
      </c>
      <c r="G41" s="32" t="str">
        <f>IF(EXACT('변경(260104_260131)'!G41,'원번표(수정불가)'!G41)=$BS$9,"","변경")</f>
        <v/>
      </c>
      <c r="H41" s="32" t="str">
        <f>IF(EXACT('변경(260104_260131)'!H41,'원번표(수정불가)'!H41)=$BS$9,"","변경")</f>
        <v/>
      </c>
      <c r="I41" s="73" t="str">
        <f>IF(EXACT('변경(260104_260131)'!I41,'원번표(수정불가)'!I41)=$BS$9,"","변경")</f>
        <v/>
      </c>
      <c r="J41" s="31" t="str">
        <f>IF(EXACT('변경(260104_260131)'!J41,'원번표(수정불가)'!J41)=$BS$9,"","변경")</f>
        <v/>
      </c>
      <c r="K41" s="32" t="str">
        <f>IF(EXACT('변경(260104_260131)'!K41,'원번표(수정불가)'!K41)=$BS$9,"","변경")</f>
        <v/>
      </c>
      <c r="L41" s="32" t="str">
        <f>IF(EXACT('변경(260104_260131)'!L41,'원번표(수정불가)'!L41)=$BS$9,"","변경")</f>
        <v/>
      </c>
      <c r="M41" s="32" t="str">
        <f>IF(EXACT('변경(260104_260131)'!M41,'원번표(수정불가)'!M41)=$BS$9,"","변경")</f>
        <v/>
      </c>
      <c r="N41" s="32" t="str">
        <f>IF(EXACT('변경(260104_260131)'!N41,'원번표(수정불가)'!N41)=$BS$9,"","변경")</f>
        <v/>
      </c>
      <c r="O41" s="32" t="str">
        <f>IF(EXACT('변경(260104_260131)'!O41,'원번표(수정불가)'!O41)=$BS$9,"","변경")</f>
        <v/>
      </c>
      <c r="P41" s="33" t="str">
        <f>IF(EXACT('변경(260104_260131)'!P41,'원번표(수정불가)'!P41)=$BS$9,"","변경")</f>
        <v/>
      </c>
      <c r="Q41" s="61" t="str">
        <f>IF(EXACT('변경(260104_260131)'!Q41,'원번표(수정불가)'!Q41)=$BS$9,"","변경")</f>
        <v/>
      </c>
      <c r="R41" s="32" t="str">
        <f>IF(EXACT('변경(260104_260131)'!R41,'원번표(수정불가)'!R41)=$BS$9,"","변경")</f>
        <v/>
      </c>
      <c r="S41" s="32" t="str">
        <f>IF(EXACT('변경(260104_260131)'!S41,'원번표(수정불가)'!S41)=$BS$9,"","변경")</f>
        <v/>
      </c>
      <c r="T41" s="32" t="str">
        <f>IF(EXACT('변경(260104_260131)'!T41,'원번표(수정불가)'!T41)=$BS$9,"","변경")</f>
        <v/>
      </c>
      <c r="U41" s="32" t="str">
        <f>IF(EXACT('변경(260104_260131)'!U41,'원번표(수정불가)'!U41)=$BS$9,"","변경")</f>
        <v/>
      </c>
      <c r="V41" s="32" t="str">
        <f>IF(EXACT('변경(260104_260131)'!V41,'원번표(수정불가)'!V41)=$BS$9,"","변경")</f>
        <v/>
      </c>
      <c r="W41" s="73" t="str">
        <f>IF(EXACT('변경(260104_260131)'!W41,'원번표(수정불가)'!W41)=$BS$9,"","변경")</f>
        <v/>
      </c>
      <c r="X41" s="31" t="str">
        <f>IF(EXACT('변경(260104_260131)'!X41,'원번표(수정불가)'!X41)=$BS$9,"","변경")</f>
        <v/>
      </c>
      <c r="Y41" s="32" t="str">
        <f>IF(EXACT('변경(260104_260131)'!Y41,'원번표(수정불가)'!Y41)=$BS$9,"","변경")</f>
        <v/>
      </c>
      <c r="Z41" s="32" t="str">
        <f>IF(EXACT('변경(260104_260131)'!Z41,'원번표(수정불가)'!Z41)=$BS$9,"","변경")</f>
        <v/>
      </c>
      <c r="AA41" s="32" t="str">
        <f>IF(EXACT('변경(260104_260131)'!AA41,'원번표(수정불가)'!AA41)=$BS$9,"","변경")</f>
        <v/>
      </c>
      <c r="AB41" s="32" t="str">
        <f>IF(EXACT('변경(260104_260131)'!AB41,'원번표(수정불가)'!AB41)=$BS$9,"","변경")</f>
        <v/>
      </c>
      <c r="AC41" s="32" t="str">
        <f>IF(EXACT('변경(260104_260131)'!AC41,'원번표(수정불가)'!AC41)=$BS$9,"","변경")</f>
        <v/>
      </c>
      <c r="AD41" s="33" t="str">
        <f>IF(EXACT('변경(260104_260131)'!AD41,'원번표(수정불가)'!AD41)=$BS$9,"","변경")</f>
        <v/>
      </c>
      <c r="AE41" s="237">
        <f t="shared" si="0"/>
        <v>0</v>
      </c>
      <c r="AF41" s="201">
        <f t="shared" si="19"/>
        <v>0</v>
      </c>
      <c r="AG41" s="106"/>
      <c r="AH41" s="110"/>
      <c r="AI41" s="106"/>
      <c r="AJ41" s="106"/>
      <c r="AK41" s="176">
        <f t="shared" ref="AK41:AK43" si="53">COUNTIF($C41:$I41,AK$6)</f>
        <v>0</v>
      </c>
      <c r="AL41" s="38">
        <f t="shared" ref="AL41:AL43" si="54">COUNTIF($C41:$I41,AL$6&amp;"*")</f>
        <v>0</v>
      </c>
      <c r="AM41" s="75">
        <f t="shared" ref="AM41:AN43" si="55">COUNTIF($J41:$P41,AM$6)</f>
        <v>0</v>
      </c>
      <c r="AN41" s="75">
        <f t="shared" si="55"/>
        <v>0</v>
      </c>
      <c r="AO41" s="75">
        <f t="shared" ref="AO41:AP43" si="56">COUNTIF($Q41:$W41,AO$6)</f>
        <v>0</v>
      </c>
      <c r="AP41" s="75">
        <f t="shared" si="56"/>
        <v>0</v>
      </c>
      <c r="AQ41" s="75">
        <f t="shared" ref="AQ41:AR43" si="57">COUNTIF($X41:$AD41,AQ$6)</f>
        <v>0</v>
      </c>
      <c r="AR41" s="75">
        <f t="shared" si="57"/>
        <v>0</v>
      </c>
      <c r="AS41" s="126" t="s">
        <v>47</v>
      </c>
      <c r="AT41" s="17">
        <f t="shared" si="6"/>
        <v>0</v>
      </c>
      <c r="AU41" s="17">
        <f t="shared" si="7"/>
        <v>0</v>
      </c>
      <c r="AV41" s="17">
        <f t="shared" si="8"/>
        <v>0</v>
      </c>
      <c r="AW41" s="11">
        <f t="shared" si="9"/>
        <v>0</v>
      </c>
      <c r="AX41" s="11">
        <f t="shared" si="10"/>
        <v>0</v>
      </c>
      <c r="AY41" s="11">
        <f t="shared" si="11"/>
        <v>0</v>
      </c>
      <c r="AZ41" s="11">
        <f t="shared" si="12"/>
        <v>0</v>
      </c>
      <c r="BA41" s="11">
        <f t="shared" si="13"/>
        <v>0</v>
      </c>
      <c r="BB41" s="11">
        <f t="shared" si="14"/>
        <v>0</v>
      </c>
      <c r="BC41" s="11">
        <f t="shared" si="15"/>
        <v>0</v>
      </c>
      <c r="BD41" s="28">
        <f t="shared" si="16"/>
        <v>0</v>
      </c>
      <c r="BE41" s="29">
        <f t="shared" si="17"/>
        <v>0</v>
      </c>
      <c r="BF41" s="11">
        <f t="shared" si="18"/>
        <v>0</v>
      </c>
    </row>
    <row r="42" spans="1:58">
      <c r="A42" s="126" t="s">
        <v>48</v>
      </c>
      <c r="B42" s="125"/>
      <c r="C42" s="31" t="str">
        <f>IF(EXACT('변경(260104_260131)'!C42,'원번표(수정불가)'!C42)=$BS$9,"","변경")</f>
        <v/>
      </c>
      <c r="D42" s="32" t="str">
        <f>IF(EXACT('변경(260104_260131)'!D42,'원번표(수정불가)'!D42)=$BS$9,"","변경")</f>
        <v/>
      </c>
      <c r="E42" s="32" t="str">
        <f>IF(EXACT('변경(260104_260131)'!E42,'원번표(수정불가)'!E42)=$BS$9,"","변경")</f>
        <v/>
      </c>
      <c r="F42" s="32" t="str">
        <f>IF(EXACT('변경(260104_260131)'!F42,'원번표(수정불가)'!F42)=$BS$9,"","변경")</f>
        <v/>
      </c>
      <c r="G42" s="32" t="str">
        <f>IF(EXACT('변경(260104_260131)'!G42,'원번표(수정불가)'!G42)=$BS$9,"","변경")</f>
        <v/>
      </c>
      <c r="H42" s="32" t="str">
        <f>IF(EXACT('변경(260104_260131)'!H42,'원번표(수정불가)'!H42)=$BS$9,"","변경")</f>
        <v/>
      </c>
      <c r="I42" s="73" t="str">
        <f>IF(EXACT('변경(260104_260131)'!I42,'원번표(수정불가)'!I42)=$BS$9,"","변경")</f>
        <v/>
      </c>
      <c r="J42" s="31" t="str">
        <f>IF(EXACT('변경(260104_260131)'!J42,'원번표(수정불가)'!J42)=$BS$9,"","변경")</f>
        <v/>
      </c>
      <c r="K42" s="32" t="str">
        <f>IF(EXACT('변경(260104_260131)'!K42,'원번표(수정불가)'!K42)=$BS$9,"","변경")</f>
        <v/>
      </c>
      <c r="L42" s="32" t="str">
        <f>IF(EXACT('변경(260104_260131)'!L42,'원번표(수정불가)'!L42)=$BS$9,"","변경")</f>
        <v/>
      </c>
      <c r="M42" s="32" t="str">
        <f>IF(EXACT('변경(260104_260131)'!M42,'원번표(수정불가)'!M42)=$BS$9,"","변경")</f>
        <v/>
      </c>
      <c r="N42" s="32" t="str">
        <f>IF(EXACT('변경(260104_260131)'!N42,'원번표(수정불가)'!N42)=$BS$9,"","변경")</f>
        <v/>
      </c>
      <c r="O42" s="32" t="str">
        <f>IF(EXACT('변경(260104_260131)'!O42,'원번표(수정불가)'!O42)=$BS$9,"","변경")</f>
        <v/>
      </c>
      <c r="P42" s="33" t="str">
        <f>IF(EXACT('변경(260104_260131)'!P42,'원번표(수정불가)'!P42)=$BS$9,"","변경")</f>
        <v/>
      </c>
      <c r="Q42" s="61" t="str">
        <f>IF(EXACT('변경(260104_260131)'!Q42,'원번표(수정불가)'!Q42)=$BS$9,"","변경")</f>
        <v/>
      </c>
      <c r="R42" s="32" t="str">
        <f>IF(EXACT('변경(260104_260131)'!R42,'원번표(수정불가)'!R42)=$BS$9,"","변경")</f>
        <v/>
      </c>
      <c r="S42" s="32" t="str">
        <f>IF(EXACT('변경(260104_260131)'!S42,'원번표(수정불가)'!S42)=$BS$9,"","변경")</f>
        <v/>
      </c>
      <c r="T42" s="32" t="str">
        <f>IF(EXACT('변경(260104_260131)'!T42,'원번표(수정불가)'!T42)=$BS$9,"","변경")</f>
        <v/>
      </c>
      <c r="U42" s="32" t="str">
        <f>IF(EXACT('변경(260104_260131)'!U42,'원번표(수정불가)'!U42)=$BS$9,"","변경")</f>
        <v/>
      </c>
      <c r="V42" s="32" t="str">
        <f>IF(EXACT('변경(260104_260131)'!V42,'원번표(수정불가)'!V42)=$BS$9,"","변경")</f>
        <v/>
      </c>
      <c r="W42" s="73" t="str">
        <f>IF(EXACT('변경(260104_260131)'!W42,'원번표(수정불가)'!W42)=$BS$9,"","변경")</f>
        <v/>
      </c>
      <c r="X42" s="31" t="str">
        <f>IF(EXACT('변경(260104_260131)'!X42,'원번표(수정불가)'!X42)=$BS$9,"","변경")</f>
        <v/>
      </c>
      <c r="Y42" s="32" t="str">
        <f>IF(EXACT('변경(260104_260131)'!Y42,'원번표(수정불가)'!Y42)=$BS$9,"","변경")</f>
        <v/>
      </c>
      <c r="Z42" s="32" t="str">
        <f>IF(EXACT('변경(260104_260131)'!Z42,'원번표(수정불가)'!Z42)=$BS$9,"","변경")</f>
        <v/>
      </c>
      <c r="AA42" s="32" t="str">
        <f>IF(EXACT('변경(260104_260131)'!AA42,'원번표(수정불가)'!AA42)=$BS$9,"","변경")</f>
        <v/>
      </c>
      <c r="AB42" s="32" t="str">
        <f>IF(EXACT('변경(260104_260131)'!AB42,'원번표(수정불가)'!AB42)=$BS$9,"","변경")</f>
        <v/>
      </c>
      <c r="AC42" s="32" t="str">
        <f>IF(EXACT('변경(260104_260131)'!AC42,'원번표(수정불가)'!AC42)=$BS$9,"","변경")</f>
        <v/>
      </c>
      <c r="AD42" s="33" t="str">
        <f>IF(EXACT('변경(260104_260131)'!AD42,'원번표(수정불가)'!AD42)=$BS$9,"","변경")</f>
        <v/>
      </c>
      <c r="AE42" s="237">
        <f t="shared" si="0"/>
        <v>0</v>
      </c>
      <c r="AF42" s="201">
        <f t="shared" si="19"/>
        <v>0</v>
      </c>
      <c r="AG42" s="106"/>
      <c r="AH42" s="110"/>
      <c r="AI42" s="106"/>
      <c r="AJ42" s="106"/>
      <c r="AK42" s="176">
        <f t="shared" si="53"/>
        <v>0</v>
      </c>
      <c r="AL42" s="38">
        <f t="shared" si="54"/>
        <v>0</v>
      </c>
      <c r="AM42" s="75">
        <f t="shared" si="55"/>
        <v>0</v>
      </c>
      <c r="AN42" s="75">
        <f t="shared" si="55"/>
        <v>0</v>
      </c>
      <c r="AO42" s="75">
        <f t="shared" si="56"/>
        <v>0</v>
      </c>
      <c r="AP42" s="75">
        <f t="shared" si="56"/>
        <v>0</v>
      </c>
      <c r="AQ42" s="75">
        <f t="shared" si="57"/>
        <v>0</v>
      </c>
      <c r="AR42" s="75">
        <f t="shared" si="57"/>
        <v>0</v>
      </c>
      <c r="AS42" s="126" t="s">
        <v>48</v>
      </c>
      <c r="AT42" s="17">
        <f t="shared" si="6"/>
        <v>0</v>
      </c>
      <c r="AU42" s="17">
        <f t="shared" si="7"/>
        <v>0</v>
      </c>
      <c r="AV42" s="17">
        <f t="shared" si="8"/>
        <v>0</v>
      </c>
      <c r="AW42" s="11">
        <f t="shared" si="9"/>
        <v>0</v>
      </c>
      <c r="AX42" s="11">
        <f t="shared" si="10"/>
        <v>0</v>
      </c>
      <c r="AY42" s="11">
        <f t="shared" si="11"/>
        <v>0</v>
      </c>
      <c r="AZ42" s="11">
        <f t="shared" si="12"/>
        <v>0</v>
      </c>
      <c r="BA42" s="11">
        <f t="shared" si="13"/>
        <v>0</v>
      </c>
      <c r="BB42" s="11">
        <f t="shared" si="14"/>
        <v>0</v>
      </c>
      <c r="BC42" s="11">
        <f t="shared" si="15"/>
        <v>0</v>
      </c>
      <c r="BD42" s="28">
        <f t="shared" si="16"/>
        <v>0</v>
      </c>
      <c r="BE42" s="29">
        <f t="shared" si="17"/>
        <v>0</v>
      </c>
      <c r="BF42" s="11">
        <f t="shared" si="18"/>
        <v>0</v>
      </c>
    </row>
    <row r="43" spans="1:58">
      <c r="A43" s="126" t="s">
        <v>49</v>
      </c>
      <c r="B43" s="125"/>
      <c r="C43" s="31" t="str">
        <f>IF(EXACT('변경(260104_260131)'!C43,'원번표(수정불가)'!C43)=$BS$9,"","변경")</f>
        <v/>
      </c>
      <c r="D43" s="32" t="str">
        <f>IF(EXACT('변경(260104_260131)'!D43,'원번표(수정불가)'!D43)=$BS$9,"","변경")</f>
        <v/>
      </c>
      <c r="E43" s="32" t="str">
        <f>IF(EXACT('변경(260104_260131)'!E43,'원번표(수정불가)'!E43)=$BS$9,"","변경")</f>
        <v/>
      </c>
      <c r="F43" s="32" t="str">
        <f>IF(EXACT('변경(260104_260131)'!F43,'원번표(수정불가)'!F43)=$BS$9,"","변경")</f>
        <v/>
      </c>
      <c r="G43" s="32" t="str">
        <f>IF(EXACT('변경(260104_260131)'!G43,'원번표(수정불가)'!G43)=$BS$9,"","변경")</f>
        <v/>
      </c>
      <c r="H43" s="32" t="str">
        <f>IF(EXACT('변경(260104_260131)'!H43,'원번표(수정불가)'!H43)=$BS$9,"","변경")</f>
        <v/>
      </c>
      <c r="I43" s="73" t="str">
        <f>IF(EXACT('변경(260104_260131)'!I43,'원번표(수정불가)'!I43)=$BS$9,"","변경")</f>
        <v/>
      </c>
      <c r="J43" s="31" t="str">
        <f>IF(EXACT('변경(260104_260131)'!J43,'원번표(수정불가)'!J43)=$BS$9,"","변경")</f>
        <v/>
      </c>
      <c r="K43" s="32" t="str">
        <f>IF(EXACT('변경(260104_260131)'!K43,'원번표(수정불가)'!K43)=$BS$9,"","변경")</f>
        <v/>
      </c>
      <c r="L43" s="32" t="str">
        <f>IF(EXACT('변경(260104_260131)'!L43,'원번표(수정불가)'!L43)=$BS$9,"","변경")</f>
        <v/>
      </c>
      <c r="M43" s="32" t="str">
        <f>IF(EXACT('변경(260104_260131)'!M43,'원번표(수정불가)'!M43)=$BS$9,"","변경")</f>
        <v/>
      </c>
      <c r="N43" s="32" t="str">
        <f>IF(EXACT('변경(260104_260131)'!N43,'원번표(수정불가)'!N43)=$BS$9,"","변경")</f>
        <v/>
      </c>
      <c r="O43" s="32" t="str">
        <f>IF(EXACT('변경(260104_260131)'!O43,'원번표(수정불가)'!O43)=$BS$9,"","변경")</f>
        <v/>
      </c>
      <c r="P43" s="33" t="str">
        <f>IF(EXACT('변경(260104_260131)'!P43,'원번표(수정불가)'!P43)=$BS$9,"","변경")</f>
        <v/>
      </c>
      <c r="Q43" s="61" t="str">
        <f>IF(EXACT('변경(260104_260131)'!Q43,'원번표(수정불가)'!Q43)=$BS$9,"","변경")</f>
        <v/>
      </c>
      <c r="R43" s="32" t="str">
        <f>IF(EXACT('변경(260104_260131)'!R43,'원번표(수정불가)'!R43)=$BS$9,"","변경")</f>
        <v/>
      </c>
      <c r="S43" s="32" t="str">
        <f>IF(EXACT('변경(260104_260131)'!S43,'원번표(수정불가)'!S43)=$BS$9,"","변경")</f>
        <v/>
      </c>
      <c r="T43" s="32" t="str">
        <f>IF(EXACT('변경(260104_260131)'!T43,'원번표(수정불가)'!T43)=$BS$9,"","변경")</f>
        <v/>
      </c>
      <c r="U43" s="32" t="str">
        <f>IF(EXACT('변경(260104_260131)'!U43,'원번표(수정불가)'!U43)=$BS$9,"","변경")</f>
        <v/>
      </c>
      <c r="V43" s="32" t="str">
        <f>IF(EXACT('변경(260104_260131)'!V43,'원번표(수정불가)'!V43)=$BS$9,"","변경")</f>
        <v/>
      </c>
      <c r="W43" s="73" t="str">
        <f>IF(EXACT('변경(260104_260131)'!W43,'원번표(수정불가)'!W43)=$BS$9,"","변경")</f>
        <v/>
      </c>
      <c r="X43" s="31" t="str">
        <f>IF(EXACT('변경(260104_260131)'!X43,'원번표(수정불가)'!X43)=$BS$9,"","변경")</f>
        <v/>
      </c>
      <c r="Y43" s="32" t="str">
        <f>IF(EXACT('변경(260104_260131)'!Y43,'원번표(수정불가)'!Y43)=$BS$9,"","변경")</f>
        <v/>
      </c>
      <c r="Z43" s="32" t="str">
        <f>IF(EXACT('변경(260104_260131)'!Z43,'원번표(수정불가)'!Z43)=$BS$9,"","변경")</f>
        <v/>
      </c>
      <c r="AA43" s="32" t="str">
        <f>IF(EXACT('변경(260104_260131)'!AA43,'원번표(수정불가)'!AA43)=$BS$9,"","변경")</f>
        <v/>
      </c>
      <c r="AB43" s="32" t="str">
        <f>IF(EXACT('변경(260104_260131)'!AB43,'원번표(수정불가)'!AB43)=$BS$9,"","변경")</f>
        <v/>
      </c>
      <c r="AC43" s="32" t="str">
        <f>IF(EXACT('변경(260104_260131)'!AC43,'원번표(수정불가)'!AC43)=$BS$9,"","변경")</f>
        <v/>
      </c>
      <c r="AD43" s="33" t="str">
        <f>IF(EXACT('변경(260104_260131)'!AD43,'원번표(수정불가)'!AD43)=$BS$9,"","변경")</f>
        <v/>
      </c>
      <c r="AE43" s="237">
        <f t="shared" si="0"/>
        <v>0</v>
      </c>
      <c r="AF43" s="201">
        <f t="shared" si="19"/>
        <v>0</v>
      </c>
      <c r="AG43" s="106"/>
      <c r="AH43" s="110"/>
      <c r="AI43" s="106"/>
      <c r="AJ43" s="106"/>
      <c r="AK43" s="176">
        <f t="shared" si="53"/>
        <v>0</v>
      </c>
      <c r="AL43" s="38">
        <f t="shared" si="54"/>
        <v>0</v>
      </c>
      <c r="AM43" s="75">
        <f t="shared" si="55"/>
        <v>0</v>
      </c>
      <c r="AN43" s="75">
        <f t="shared" si="55"/>
        <v>0</v>
      </c>
      <c r="AO43" s="75">
        <f t="shared" si="56"/>
        <v>0</v>
      </c>
      <c r="AP43" s="75">
        <f t="shared" si="56"/>
        <v>0</v>
      </c>
      <c r="AQ43" s="75">
        <f t="shared" si="57"/>
        <v>0</v>
      </c>
      <c r="AR43" s="75">
        <f t="shared" si="57"/>
        <v>0</v>
      </c>
      <c r="AS43" s="126" t="s">
        <v>49</v>
      </c>
      <c r="AT43" s="17">
        <f t="shared" si="6"/>
        <v>0</v>
      </c>
      <c r="AU43" s="17">
        <f t="shared" si="7"/>
        <v>0</v>
      </c>
      <c r="AV43" s="17">
        <f t="shared" si="8"/>
        <v>0</v>
      </c>
      <c r="AW43" s="11">
        <f t="shared" si="9"/>
        <v>0</v>
      </c>
      <c r="AX43" s="11">
        <f t="shared" si="10"/>
        <v>0</v>
      </c>
      <c r="AY43" s="11">
        <f t="shared" si="11"/>
        <v>0</v>
      </c>
      <c r="AZ43" s="11">
        <f t="shared" si="12"/>
        <v>0</v>
      </c>
      <c r="BA43" s="11">
        <f t="shared" si="13"/>
        <v>0</v>
      </c>
      <c r="BB43" s="11">
        <f t="shared" si="14"/>
        <v>0</v>
      </c>
      <c r="BC43" s="11">
        <f t="shared" si="15"/>
        <v>0</v>
      </c>
      <c r="BD43" s="28">
        <f t="shared" si="16"/>
        <v>0</v>
      </c>
      <c r="BE43" s="29">
        <f t="shared" si="17"/>
        <v>0</v>
      </c>
      <c r="BF43" s="11">
        <f t="shared" si="18"/>
        <v>0</v>
      </c>
    </row>
    <row r="44" spans="1:58" ht="17.25" thickBot="1">
      <c r="A44" s="224" t="s">
        <v>50</v>
      </c>
      <c r="B44" s="126"/>
      <c r="C44" s="31" t="str">
        <f>IF(EXACT('변경(260104_260131)'!C44,'원번표(수정불가)'!C44)=$BS$9,"","변경")</f>
        <v/>
      </c>
      <c r="D44" s="32" t="str">
        <f>IF(EXACT('변경(260104_260131)'!D44,'원번표(수정불가)'!D44)=$BS$9,"","변경")</f>
        <v/>
      </c>
      <c r="E44" s="32" t="str">
        <f>IF(EXACT('변경(260104_260131)'!E44,'원번표(수정불가)'!E44)=$BS$9,"","변경")</f>
        <v/>
      </c>
      <c r="F44" s="32" t="str">
        <f>IF(EXACT('변경(260104_260131)'!F44,'원번표(수정불가)'!F44)=$BS$9,"","변경")</f>
        <v/>
      </c>
      <c r="G44" s="32" t="str">
        <f>IF(EXACT('변경(260104_260131)'!G44,'원번표(수정불가)'!G44)=$BS$9,"","변경")</f>
        <v/>
      </c>
      <c r="H44" s="32" t="str">
        <f>IF(EXACT('변경(260104_260131)'!H44,'원번표(수정불가)'!H44)=$BS$9,"","변경")</f>
        <v/>
      </c>
      <c r="I44" s="73" t="str">
        <f>IF(EXACT('변경(260104_260131)'!I44,'원번표(수정불가)'!I44)=$BS$9,"","변경")</f>
        <v/>
      </c>
      <c r="J44" s="31" t="str">
        <f>IF(EXACT('변경(260104_260131)'!J44,'원번표(수정불가)'!J44)=$BS$9,"","변경")</f>
        <v/>
      </c>
      <c r="K44" s="32" t="str">
        <f>IF(EXACT('변경(260104_260131)'!K44,'원번표(수정불가)'!K44)=$BS$9,"","변경")</f>
        <v/>
      </c>
      <c r="L44" s="32" t="str">
        <f>IF(EXACT('변경(260104_260131)'!L44,'원번표(수정불가)'!L44)=$BS$9,"","변경")</f>
        <v/>
      </c>
      <c r="M44" s="32" t="str">
        <f>IF(EXACT('변경(260104_260131)'!M44,'원번표(수정불가)'!M44)=$BS$9,"","변경")</f>
        <v/>
      </c>
      <c r="N44" s="32" t="str">
        <f>IF(EXACT('변경(260104_260131)'!N44,'원번표(수정불가)'!N44)=$BS$9,"","변경")</f>
        <v/>
      </c>
      <c r="O44" s="32" t="str">
        <f>IF(EXACT('변경(260104_260131)'!O44,'원번표(수정불가)'!O44)=$BS$9,"","변경")</f>
        <v/>
      </c>
      <c r="P44" s="33" t="str">
        <f>IF(EXACT('변경(260104_260131)'!P44,'원번표(수정불가)'!P44)=$BS$9,"","변경")</f>
        <v/>
      </c>
      <c r="Q44" s="61" t="str">
        <f>IF(EXACT('변경(260104_260131)'!Q44,'원번표(수정불가)'!Q44)=$BS$9,"","변경")</f>
        <v/>
      </c>
      <c r="R44" s="32" t="str">
        <f>IF(EXACT('변경(260104_260131)'!R44,'원번표(수정불가)'!R44)=$BS$9,"","변경")</f>
        <v/>
      </c>
      <c r="S44" s="32" t="str">
        <f>IF(EXACT('변경(260104_260131)'!S44,'원번표(수정불가)'!S44)=$BS$9,"","변경")</f>
        <v/>
      </c>
      <c r="T44" s="32" t="str">
        <f>IF(EXACT('변경(260104_260131)'!T44,'원번표(수정불가)'!T44)=$BS$9,"","변경")</f>
        <v/>
      </c>
      <c r="U44" s="32" t="str">
        <f>IF(EXACT('변경(260104_260131)'!U44,'원번표(수정불가)'!U44)=$BS$9,"","변경")</f>
        <v/>
      </c>
      <c r="V44" s="32" t="str">
        <f>IF(EXACT('변경(260104_260131)'!V44,'원번표(수정불가)'!V44)=$BS$9,"","변경")</f>
        <v/>
      </c>
      <c r="W44" s="73" t="str">
        <f>IF(EXACT('변경(260104_260131)'!W44,'원번표(수정불가)'!W44)=$BS$9,"","변경")</f>
        <v/>
      </c>
      <c r="X44" s="31" t="str">
        <f>IF(EXACT('변경(260104_260131)'!X44,'원번표(수정불가)'!X44)=$BS$9,"","변경")</f>
        <v/>
      </c>
      <c r="Y44" s="32" t="str">
        <f>IF(EXACT('변경(260104_260131)'!Y44,'원번표(수정불가)'!Y44)=$BS$9,"","변경")</f>
        <v/>
      </c>
      <c r="Z44" s="32" t="str">
        <f>IF(EXACT('변경(260104_260131)'!Z44,'원번표(수정불가)'!Z44)=$BS$9,"","변경")</f>
        <v/>
      </c>
      <c r="AA44" s="32" t="str">
        <f>IF(EXACT('변경(260104_260131)'!AA44,'원번표(수정불가)'!AA44)=$BS$9,"","변경")</f>
        <v/>
      </c>
      <c r="AB44" s="32" t="str">
        <f>IF(EXACT('변경(260104_260131)'!AB44,'원번표(수정불가)'!AB44)=$BS$9,"","변경")</f>
        <v/>
      </c>
      <c r="AC44" s="32" t="str">
        <f>IF(EXACT('변경(260104_260131)'!AC44,'원번표(수정불가)'!AC44)=$BS$9,"","변경")</f>
        <v/>
      </c>
      <c r="AD44" s="33" t="str">
        <f>IF(EXACT('변경(260104_260131)'!AD44,'원번표(수정불가)'!AD44)=$BS$9,"","변경")</f>
        <v/>
      </c>
      <c r="AE44" s="237">
        <f t="shared" si="0"/>
        <v>0</v>
      </c>
      <c r="AF44" s="201">
        <f t="shared" si="19"/>
        <v>0</v>
      </c>
      <c r="AG44" s="106"/>
      <c r="AH44" s="110"/>
      <c r="AI44" s="106"/>
      <c r="AJ44" s="106"/>
      <c r="AK44" s="176">
        <f>COUNTIF($C44:$I44,AK$6)</f>
        <v>0</v>
      </c>
      <c r="AL44" s="38">
        <f>COUNTIF($C44:$I44,AL$6&amp;"*")</f>
        <v>0</v>
      </c>
      <c r="AM44" s="75">
        <f>COUNTIF($J44:$P44,AM$6)</f>
        <v>0</v>
      </c>
      <c r="AN44" s="75">
        <f>COUNTIF($J44:$P44,AN$6)</f>
        <v>0</v>
      </c>
      <c r="AO44" s="75">
        <f>COUNTIF($Q44:$W44,AO$6)</f>
        <v>0</v>
      </c>
      <c r="AP44" s="75">
        <f>COUNTIF($Q44:$W44,AP$6)</f>
        <v>0</v>
      </c>
      <c r="AQ44" s="75">
        <f>COUNTIF($X44:$AD44,AQ$6)</f>
        <v>0</v>
      </c>
      <c r="AR44" s="75">
        <f>COUNTIF($X44:$AD44,AR$6)</f>
        <v>0</v>
      </c>
      <c r="AS44" s="224" t="s">
        <v>50</v>
      </c>
      <c r="AT44" s="17">
        <f t="shared" si="6"/>
        <v>0</v>
      </c>
      <c r="AU44" s="17">
        <f t="shared" si="7"/>
        <v>0</v>
      </c>
      <c r="AV44" s="17">
        <f t="shared" si="8"/>
        <v>0</v>
      </c>
      <c r="AW44" s="11">
        <f t="shared" si="9"/>
        <v>0</v>
      </c>
      <c r="AX44" s="11">
        <f t="shared" si="10"/>
        <v>0</v>
      </c>
      <c r="AY44" s="11">
        <f t="shared" si="11"/>
        <v>0</v>
      </c>
      <c r="AZ44" s="11">
        <f t="shared" si="12"/>
        <v>0</v>
      </c>
      <c r="BA44" s="11">
        <f t="shared" si="13"/>
        <v>0</v>
      </c>
      <c r="BB44" s="11">
        <f t="shared" si="14"/>
        <v>0</v>
      </c>
      <c r="BC44" s="11">
        <f t="shared" si="15"/>
        <v>0</v>
      </c>
      <c r="BD44" s="28">
        <f t="shared" si="16"/>
        <v>0</v>
      </c>
      <c r="BE44" s="29">
        <f t="shared" si="17"/>
        <v>0</v>
      </c>
      <c r="BF44" s="11">
        <f t="shared" si="18"/>
        <v>0</v>
      </c>
    </row>
    <row r="45" spans="1:58" ht="17.25" thickBot="1">
      <c r="A45" s="259" t="s">
        <v>51</v>
      </c>
      <c r="B45" s="224"/>
      <c r="C45" s="49" t="str">
        <f>IF(EXACT('변경(260104_260131)'!C45,'원번표(수정불가)'!C45)=$BS$9,"","변경")</f>
        <v/>
      </c>
      <c r="D45" s="48" t="str">
        <f>IF(EXACT('변경(260104_260131)'!D45,'원번표(수정불가)'!D45)=$BS$9,"","변경")</f>
        <v/>
      </c>
      <c r="E45" s="48" t="str">
        <f>IF(EXACT('변경(260104_260131)'!E45,'원번표(수정불가)'!E45)=$BS$9,"","변경")</f>
        <v/>
      </c>
      <c r="F45" s="48" t="str">
        <f>IF(EXACT('변경(260104_260131)'!F45,'원번표(수정불가)'!F45)=$BS$9,"","변경")</f>
        <v/>
      </c>
      <c r="G45" s="48" t="str">
        <f>IF(EXACT('변경(260104_260131)'!G45,'원번표(수정불가)'!G45)=$BS$9,"","변경")</f>
        <v/>
      </c>
      <c r="H45" s="48" t="str">
        <f>IF(EXACT('변경(260104_260131)'!H45,'원번표(수정불가)'!H45)=$BS$9,"","변경")</f>
        <v/>
      </c>
      <c r="I45" s="136" t="str">
        <f>IF(EXACT('변경(260104_260131)'!I45,'원번표(수정불가)'!I45)=$BS$9,"","변경")</f>
        <v/>
      </c>
      <c r="J45" s="49" t="str">
        <f>IF(EXACT('변경(260104_260131)'!J45,'원번표(수정불가)'!J45)=$BS$9,"","변경")</f>
        <v/>
      </c>
      <c r="K45" s="48" t="str">
        <f>IF(EXACT('변경(260104_260131)'!K45,'원번표(수정불가)'!K45)=$BS$9,"","변경")</f>
        <v/>
      </c>
      <c r="L45" s="48" t="str">
        <f>IF(EXACT('변경(260104_260131)'!L45,'원번표(수정불가)'!L45)=$BS$9,"","변경")</f>
        <v/>
      </c>
      <c r="M45" s="48" t="str">
        <f>IF(EXACT('변경(260104_260131)'!M45,'원번표(수정불가)'!M45)=$BS$9,"","변경")</f>
        <v/>
      </c>
      <c r="N45" s="48" t="str">
        <f>IF(EXACT('변경(260104_260131)'!N45,'원번표(수정불가)'!N45)=$BS$9,"","변경")</f>
        <v/>
      </c>
      <c r="O45" s="48" t="str">
        <f>IF(EXACT('변경(260104_260131)'!O45,'원번표(수정불가)'!O45)=$BS$9,"","변경")</f>
        <v/>
      </c>
      <c r="P45" s="50" t="str">
        <f>IF(EXACT('변경(260104_260131)'!P45,'원번표(수정불가)'!P45)=$BS$9,"","변경")</f>
        <v/>
      </c>
      <c r="Q45" s="133" t="str">
        <f>IF(EXACT('변경(260104_260131)'!Q45,'원번표(수정불가)'!Q45)=$BS$9,"","변경")</f>
        <v/>
      </c>
      <c r="R45" s="48" t="str">
        <f>IF(EXACT('변경(260104_260131)'!R45,'원번표(수정불가)'!R45)=$BS$9,"","변경")</f>
        <v/>
      </c>
      <c r="S45" s="48" t="str">
        <f>IF(EXACT('변경(260104_260131)'!S45,'원번표(수정불가)'!S45)=$BS$9,"","변경")</f>
        <v/>
      </c>
      <c r="T45" s="48" t="str">
        <f>IF(EXACT('변경(260104_260131)'!T45,'원번표(수정불가)'!T45)=$BS$9,"","변경")</f>
        <v/>
      </c>
      <c r="U45" s="48" t="str">
        <f>IF(EXACT('변경(260104_260131)'!U45,'원번표(수정불가)'!U45)=$BS$9,"","변경")</f>
        <v/>
      </c>
      <c r="V45" s="48" t="str">
        <f>IF(EXACT('변경(260104_260131)'!V45,'원번표(수정불가)'!V45)=$BS$9,"","변경")</f>
        <v/>
      </c>
      <c r="W45" s="136" t="str">
        <f>IF(EXACT('변경(260104_260131)'!W45,'원번표(수정불가)'!W45)=$BS$9,"","변경")</f>
        <v/>
      </c>
      <c r="X45" s="49" t="str">
        <f>IF(EXACT('변경(260104_260131)'!X45,'원번표(수정불가)'!X45)=$BS$9,"","변경")</f>
        <v/>
      </c>
      <c r="Y45" s="48" t="str">
        <f>IF(EXACT('변경(260104_260131)'!Y45,'원번표(수정불가)'!Y45)=$BS$9,"","변경")</f>
        <v/>
      </c>
      <c r="Z45" s="48" t="str">
        <f>IF(EXACT('변경(260104_260131)'!Z45,'원번표(수정불가)'!Z45)=$BS$9,"","변경")</f>
        <v/>
      </c>
      <c r="AA45" s="48" t="str">
        <f>IF(EXACT('변경(260104_260131)'!AA45,'원번표(수정불가)'!AA45)=$BS$9,"","변경")</f>
        <v/>
      </c>
      <c r="AB45" s="48" t="str">
        <f>IF(EXACT('변경(260104_260131)'!AB45,'원번표(수정불가)'!AB45)=$BS$9,"","변경")</f>
        <v/>
      </c>
      <c r="AC45" s="48" t="str">
        <f>IF(EXACT('변경(260104_260131)'!AC45,'원번표(수정불가)'!AC45)=$BS$9,"","변경")</f>
        <v/>
      </c>
      <c r="AD45" s="50" t="str">
        <f>IF(EXACT('변경(260104_260131)'!AD45,'원번표(수정불가)'!AD45)=$BS$9,"","변경")</f>
        <v/>
      </c>
      <c r="AE45" s="237">
        <f t="shared" si="0"/>
        <v>0</v>
      </c>
      <c r="AF45" s="201">
        <f t="shared" si="19"/>
        <v>0</v>
      </c>
      <c r="AG45" s="106"/>
      <c r="AH45" s="110"/>
      <c r="AI45" s="106"/>
      <c r="AJ45" s="106"/>
      <c r="AK45" s="176">
        <f t="shared" ref="AK45:AK48" si="58">COUNTIF($C45:$I45,AK$6)</f>
        <v>0</v>
      </c>
      <c r="AL45" s="38">
        <f t="shared" ref="AL45:AL48" si="59">COUNTIF($C45:$I45,AL$6&amp;"*")</f>
        <v>0</v>
      </c>
      <c r="AM45" s="75">
        <f t="shared" ref="AM45:AN48" si="60">COUNTIF($J45:$P45,AM$6)</f>
        <v>0</v>
      </c>
      <c r="AN45" s="75">
        <f t="shared" si="60"/>
        <v>0</v>
      </c>
      <c r="AO45" s="75">
        <f t="shared" ref="AO45:AP48" si="61">COUNTIF($Q45:$W45,AO$6)</f>
        <v>0</v>
      </c>
      <c r="AP45" s="75">
        <f t="shared" si="61"/>
        <v>0</v>
      </c>
      <c r="AQ45" s="75">
        <f t="shared" ref="AQ45:AR48" si="62">COUNTIF($X45:$AD45,AQ$6)</f>
        <v>0</v>
      </c>
      <c r="AR45" s="75">
        <f t="shared" si="62"/>
        <v>0</v>
      </c>
      <c r="AS45" s="259" t="s">
        <v>51</v>
      </c>
      <c r="AT45" s="17">
        <f t="shared" si="6"/>
        <v>0</v>
      </c>
      <c r="AU45" s="17">
        <f t="shared" si="7"/>
        <v>0</v>
      </c>
      <c r="AV45" s="17">
        <f t="shared" si="8"/>
        <v>0</v>
      </c>
      <c r="AW45" s="11">
        <f t="shared" si="9"/>
        <v>0</v>
      </c>
      <c r="AX45" s="11">
        <f t="shared" si="10"/>
        <v>0</v>
      </c>
      <c r="AY45" s="11">
        <f t="shared" si="11"/>
        <v>0</v>
      </c>
      <c r="AZ45" s="11">
        <f t="shared" si="12"/>
        <v>0</v>
      </c>
      <c r="BA45" s="11">
        <f t="shared" si="13"/>
        <v>0</v>
      </c>
      <c r="BB45" s="11">
        <f t="shared" si="14"/>
        <v>0</v>
      </c>
      <c r="BC45" s="11">
        <f t="shared" si="15"/>
        <v>0</v>
      </c>
      <c r="BD45" s="28">
        <f t="shared" si="16"/>
        <v>0</v>
      </c>
      <c r="BE45" s="29">
        <f t="shared" si="17"/>
        <v>0</v>
      </c>
      <c r="BF45" s="11">
        <f t="shared" si="18"/>
        <v>0</v>
      </c>
    </row>
    <row r="46" spans="1:58" ht="17.25" thickBot="1">
      <c r="A46" s="260" t="s">
        <v>76</v>
      </c>
      <c r="B46" s="189"/>
      <c r="C46" s="238" t="str">
        <f>IF(EXACT('변경(260104_260131)'!C46,'원번표(수정불가)'!C46)=$BS$9,"","변경")</f>
        <v/>
      </c>
      <c r="D46" s="239" t="str">
        <f>IF(EXACT('변경(260104_260131)'!D46,'원번표(수정불가)'!D46)=$BS$9,"","변경")</f>
        <v/>
      </c>
      <c r="E46" s="239" t="str">
        <f>IF(EXACT('변경(260104_260131)'!E46,'원번표(수정불가)'!E46)=$BS$9,"","변경")</f>
        <v/>
      </c>
      <c r="F46" s="239" t="str">
        <f>IF(EXACT('변경(260104_260131)'!F46,'원번표(수정불가)'!F46)=$BS$9,"","변경")</f>
        <v/>
      </c>
      <c r="G46" s="239" t="str">
        <f>IF(EXACT('변경(260104_260131)'!G46,'원번표(수정불가)'!G46)=$BS$9,"","변경")</f>
        <v/>
      </c>
      <c r="H46" s="239" t="str">
        <f>IF(EXACT('변경(260104_260131)'!H46,'원번표(수정불가)'!H46)=$BS$9,"","변경")</f>
        <v/>
      </c>
      <c r="I46" s="240" t="str">
        <f>IF(EXACT('변경(260104_260131)'!I46,'원번표(수정불가)'!I46)=$BS$9,"","변경")</f>
        <v/>
      </c>
      <c r="J46" s="241" t="str">
        <f>IF(EXACT('변경(260104_260131)'!J46,'원번표(수정불가)'!J46)=$BS$9,"","변경")</f>
        <v/>
      </c>
      <c r="K46" s="239" t="str">
        <f>IF(EXACT('변경(260104_260131)'!K46,'원번표(수정불가)'!K46)=$BS$9,"","변경")</f>
        <v/>
      </c>
      <c r="L46" s="239" t="str">
        <f>IF(EXACT('변경(260104_260131)'!L46,'원번표(수정불가)'!L46)=$BS$9,"","변경")</f>
        <v/>
      </c>
      <c r="M46" s="239" t="str">
        <f>IF(EXACT('변경(260104_260131)'!M46,'원번표(수정불가)'!M46)=$BS$9,"","변경")</f>
        <v/>
      </c>
      <c r="N46" s="239" t="str">
        <f>IF(EXACT('변경(260104_260131)'!N46,'원번표(수정불가)'!N46)=$BS$9,"","변경")</f>
        <v/>
      </c>
      <c r="O46" s="239" t="str">
        <f>IF(EXACT('변경(260104_260131)'!O46,'원번표(수정불가)'!O46)=$BS$9,"","변경")</f>
        <v/>
      </c>
      <c r="P46" s="242" t="str">
        <f>IF(EXACT('변경(260104_260131)'!P46,'원번표(수정불가)'!P46)=$BS$9,"","변경")</f>
        <v/>
      </c>
      <c r="Q46" s="238" t="str">
        <f>IF(EXACT('변경(260104_260131)'!Q46,'원번표(수정불가)'!Q46)=$BS$9,"","변경")</f>
        <v/>
      </c>
      <c r="R46" s="239" t="str">
        <f>IF(EXACT('변경(260104_260131)'!R46,'원번표(수정불가)'!R46)=$BS$9,"","변경")</f>
        <v/>
      </c>
      <c r="S46" s="239" t="str">
        <f>IF(EXACT('변경(260104_260131)'!S46,'원번표(수정불가)'!S46)=$BS$9,"","변경")</f>
        <v/>
      </c>
      <c r="T46" s="239" t="str">
        <f>IF(EXACT('변경(260104_260131)'!T46,'원번표(수정불가)'!T46)=$BS$9,"","변경")</f>
        <v/>
      </c>
      <c r="U46" s="239" t="str">
        <f>IF(EXACT('변경(260104_260131)'!U46,'원번표(수정불가)'!U46)=$BS$9,"","변경")</f>
        <v/>
      </c>
      <c r="V46" s="239" t="str">
        <f>IF(EXACT('변경(260104_260131)'!V46,'원번표(수정불가)'!V46)=$BS$9,"","변경")</f>
        <v/>
      </c>
      <c r="W46" s="240" t="str">
        <f>IF(EXACT('변경(260104_260131)'!W46,'원번표(수정불가)'!W46)=$BS$9,"","변경")</f>
        <v/>
      </c>
      <c r="X46" s="241" t="str">
        <f>IF(EXACT('변경(260104_260131)'!X46,'원번표(수정불가)'!X46)=$BS$9,"","변경")</f>
        <v/>
      </c>
      <c r="Y46" s="239" t="str">
        <f>IF(EXACT('변경(260104_260131)'!Y46,'원번표(수정불가)'!Y46)=$BS$9,"","변경")</f>
        <v/>
      </c>
      <c r="Z46" s="239" t="str">
        <f>IF(EXACT('변경(260104_260131)'!Z46,'원번표(수정불가)'!Z46)=$BS$9,"","변경")</f>
        <v/>
      </c>
      <c r="AA46" s="239" t="str">
        <f>IF(EXACT('변경(260104_260131)'!AA46,'원번표(수정불가)'!AA46)=$BS$9,"","변경")</f>
        <v/>
      </c>
      <c r="AB46" s="239" t="str">
        <f>IF(EXACT('변경(260104_260131)'!AB46,'원번표(수정불가)'!AB46)=$BS$9,"","변경")</f>
        <v/>
      </c>
      <c r="AC46" s="239" t="str">
        <f>IF(EXACT('변경(260104_260131)'!AC46,'원번표(수정불가)'!AC46)=$BS$9,"","변경")</f>
        <v/>
      </c>
      <c r="AD46" s="242" t="str">
        <f>IF(EXACT('변경(260104_260131)'!AD46,'원번표(수정불가)'!AD46)=$BS$9,"","변경")</f>
        <v/>
      </c>
      <c r="AE46" s="210">
        <f t="shared" si="0"/>
        <v>0</v>
      </c>
      <c r="AF46" s="211">
        <f t="shared" si="19"/>
        <v>0</v>
      </c>
      <c r="AG46" s="106"/>
      <c r="AH46" s="110"/>
      <c r="AI46" s="106"/>
      <c r="AJ46" s="106"/>
      <c r="AK46" s="217">
        <f t="shared" si="58"/>
        <v>0</v>
      </c>
      <c r="AL46" s="218">
        <f t="shared" si="59"/>
        <v>0</v>
      </c>
      <c r="AM46" s="219">
        <f t="shared" si="60"/>
        <v>0</v>
      </c>
      <c r="AN46" s="219">
        <f t="shared" si="60"/>
        <v>0</v>
      </c>
      <c r="AO46" s="219">
        <f t="shared" si="61"/>
        <v>0</v>
      </c>
      <c r="AP46" s="219">
        <f t="shared" si="61"/>
        <v>0</v>
      </c>
      <c r="AQ46" s="219">
        <f t="shared" si="62"/>
        <v>0</v>
      </c>
      <c r="AR46" s="219">
        <f t="shared" si="62"/>
        <v>0</v>
      </c>
      <c r="AS46" s="260" t="s">
        <v>76</v>
      </c>
      <c r="AT46" s="17">
        <f t="shared" si="6"/>
        <v>0</v>
      </c>
      <c r="AU46" s="17">
        <f t="shared" si="7"/>
        <v>0</v>
      </c>
      <c r="AV46" s="17">
        <f t="shared" si="8"/>
        <v>0</v>
      </c>
      <c r="AW46" s="11">
        <f t="shared" si="9"/>
        <v>0</v>
      </c>
      <c r="AX46" s="11">
        <f t="shared" si="10"/>
        <v>0</v>
      </c>
      <c r="AY46" s="11">
        <f t="shared" si="11"/>
        <v>0</v>
      </c>
      <c r="AZ46" s="11">
        <f t="shared" si="12"/>
        <v>0</v>
      </c>
      <c r="BA46" s="11">
        <f t="shared" si="13"/>
        <v>0</v>
      </c>
      <c r="BB46" s="11">
        <f t="shared" si="14"/>
        <v>0</v>
      </c>
      <c r="BC46" s="11">
        <f t="shared" si="15"/>
        <v>0</v>
      </c>
      <c r="BD46" s="28">
        <f t="shared" si="16"/>
        <v>0</v>
      </c>
      <c r="BE46" s="29">
        <f t="shared" si="17"/>
        <v>0</v>
      </c>
      <c r="BF46" s="11">
        <f t="shared" si="18"/>
        <v>0</v>
      </c>
    </row>
    <row r="47" spans="1:58">
      <c r="A47" s="261" t="s">
        <v>68</v>
      </c>
      <c r="B47" s="192"/>
      <c r="C47" s="130" t="str">
        <f>IF(EXACT('변경(260104_260131)'!C47,'원번표(수정불가)'!C47)=$BS$9,"","변경")</f>
        <v/>
      </c>
      <c r="D47" s="56" t="str">
        <f>IF(EXACT('변경(260104_260131)'!D47,'원번표(수정불가)'!D47)=$BS$9,"","변경")</f>
        <v/>
      </c>
      <c r="E47" s="56" t="str">
        <f>IF(EXACT('변경(260104_260131)'!E47,'원번표(수정불가)'!E47)=$BS$9,"","변경")</f>
        <v/>
      </c>
      <c r="F47" s="56" t="str">
        <f>IF(EXACT('변경(260104_260131)'!F47,'원번표(수정불가)'!F47)=$BS$9,"","변경")</f>
        <v/>
      </c>
      <c r="G47" s="56" t="str">
        <f>IF(EXACT('변경(260104_260131)'!G47,'원번표(수정불가)'!G47)=$BS$9,"","변경")</f>
        <v/>
      </c>
      <c r="H47" s="56" t="str">
        <f>IF(EXACT('변경(260104_260131)'!H47,'원번표(수정불가)'!H47)=$BS$9,"","변경")</f>
        <v/>
      </c>
      <c r="I47" s="137" t="str">
        <f>IF(EXACT('변경(260104_260131)'!I47,'원번표(수정불가)'!I47)=$BS$9,"","변경")</f>
        <v/>
      </c>
      <c r="J47" s="21" t="str">
        <f>IF(EXACT('변경(260104_260131)'!J47,'원번표(수정불가)'!J47)=$BS$9,"","변경")</f>
        <v/>
      </c>
      <c r="K47" s="22" t="str">
        <f>IF(EXACT('변경(260104_260131)'!K47,'원번표(수정불가)'!K47)=$BS$9,"","변경")</f>
        <v/>
      </c>
      <c r="L47" s="22" t="str">
        <f>IF(EXACT('변경(260104_260131)'!L47,'원번표(수정불가)'!L47)=$BS$9,"","변경")</f>
        <v/>
      </c>
      <c r="M47" s="22" t="str">
        <f>IF(EXACT('변경(260104_260131)'!M47,'원번표(수정불가)'!M47)=$BS$9,"","변경")</f>
        <v/>
      </c>
      <c r="N47" s="22" t="str">
        <f>IF(EXACT('변경(260104_260131)'!N47,'원번표(수정불가)'!N47)=$BS$9,"","변경")</f>
        <v/>
      </c>
      <c r="O47" s="22" t="str">
        <f>IF(EXACT('변경(260104_260131)'!O47,'원번표(수정불가)'!O47)=$BS$9,"","변경")</f>
        <v/>
      </c>
      <c r="P47" s="55" t="str">
        <f>IF(EXACT('변경(260104_260131)'!P47,'원번표(수정불가)'!P47)=$BS$9,"","변경")</f>
        <v/>
      </c>
      <c r="Q47" s="134" t="str">
        <f>IF(EXACT('변경(260104_260131)'!Q47,'원번표(수정불가)'!Q47)=$BS$9,"","변경")</f>
        <v/>
      </c>
      <c r="R47" s="56" t="str">
        <f>IF(EXACT('변경(260104_260131)'!R47,'원번표(수정불가)'!R47)=$BS$9,"","변경")</f>
        <v/>
      </c>
      <c r="S47" s="56" t="str">
        <f>IF(EXACT('변경(260104_260131)'!S47,'원번표(수정불가)'!S47)=$BS$9,"","변경")</f>
        <v/>
      </c>
      <c r="T47" s="56" t="str">
        <f>IF(EXACT('변경(260104_260131)'!T47,'원번표(수정불가)'!T47)=$BS$9,"","변경")</f>
        <v/>
      </c>
      <c r="U47" s="56" t="str">
        <f>IF(EXACT('변경(260104_260131)'!U47,'원번표(수정불가)'!U47)=$BS$9,"","변경")</f>
        <v/>
      </c>
      <c r="V47" s="56" t="str">
        <f>IF(EXACT('변경(260104_260131)'!V47,'원번표(수정불가)'!V47)=$BS$9,"","변경")</f>
        <v/>
      </c>
      <c r="W47" s="137" t="str">
        <f>IF(EXACT('변경(260104_260131)'!W47,'원번표(수정불가)'!W47)=$BS$9,"","변경")</f>
        <v/>
      </c>
      <c r="X47" s="21" t="str">
        <f>IF(EXACT('변경(260104_260131)'!X47,'원번표(수정불가)'!X47)=$BS$9,"","변경")</f>
        <v/>
      </c>
      <c r="Y47" s="22" t="str">
        <f>IF(EXACT('변경(260104_260131)'!Y47,'원번표(수정불가)'!Y47)=$BS$9,"","변경")</f>
        <v/>
      </c>
      <c r="Z47" s="22" t="str">
        <f>IF(EXACT('변경(260104_260131)'!Z47,'원번표(수정불가)'!Z47)=$BS$9,"","변경")</f>
        <v/>
      </c>
      <c r="AA47" s="22" t="str">
        <f>IF(EXACT('변경(260104_260131)'!AA47,'원번표(수정불가)'!AA47)=$BS$9,"","변경")</f>
        <v/>
      </c>
      <c r="AB47" s="22" t="str">
        <f>IF(EXACT('변경(260104_260131)'!AB47,'원번표(수정불가)'!AB47)=$BS$9,"","변경")</f>
        <v/>
      </c>
      <c r="AC47" s="22" t="str">
        <f>IF(EXACT('변경(260104_260131)'!AC47,'원번표(수정불가)'!AC47)=$BS$9,"","변경")</f>
        <v/>
      </c>
      <c r="AD47" s="135" t="str">
        <f>IF(EXACT('변경(260104_260131)'!AD47,'원번표(수정불가)'!AD47)=$BS$9,"","변경")</f>
        <v/>
      </c>
      <c r="AE47" s="206">
        <f t="shared" si="0"/>
        <v>0</v>
      </c>
      <c r="AF47" s="207">
        <f t="shared" si="19"/>
        <v>0</v>
      </c>
      <c r="AG47" s="106"/>
      <c r="AH47" s="110"/>
      <c r="AI47" s="106"/>
      <c r="AJ47" s="106"/>
      <c r="AK47" s="215">
        <f t="shared" si="58"/>
        <v>0</v>
      </c>
      <c r="AL47" s="67">
        <f t="shared" si="59"/>
        <v>0</v>
      </c>
      <c r="AM47" s="216">
        <f t="shared" si="60"/>
        <v>0</v>
      </c>
      <c r="AN47" s="216">
        <f t="shared" si="60"/>
        <v>0</v>
      </c>
      <c r="AO47" s="216">
        <f t="shared" si="61"/>
        <v>0</v>
      </c>
      <c r="AP47" s="216">
        <f t="shared" si="61"/>
        <v>0</v>
      </c>
      <c r="AQ47" s="216">
        <f t="shared" si="62"/>
        <v>0</v>
      </c>
      <c r="AR47" s="216">
        <f t="shared" si="62"/>
        <v>0</v>
      </c>
      <c r="AS47" s="261" t="s">
        <v>68</v>
      </c>
      <c r="AT47" s="17">
        <f t="shared" si="6"/>
        <v>0</v>
      </c>
      <c r="AU47" s="17">
        <f t="shared" si="7"/>
        <v>0</v>
      </c>
      <c r="AV47" s="17">
        <f t="shared" si="8"/>
        <v>0</v>
      </c>
      <c r="AW47" s="11">
        <f t="shared" si="9"/>
        <v>0</v>
      </c>
      <c r="AX47" s="11">
        <f t="shared" si="10"/>
        <v>0</v>
      </c>
      <c r="AY47" s="11">
        <f t="shared" si="11"/>
        <v>0</v>
      </c>
      <c r="AZ47" s="11">
        <f t="shared" si="12"/>
        <v>0</v>
      </c>
      <c r="BA47" s="11">
        <f t="shared" si="13"/>
        <v>0</v>
      </c>
      <c r="BB47" s="11">
        <f t="shared" si="14"/>
        <v>0</v>
      </c>
      <c r="BC47" s="11">
        <f t="shared" si="15"/>
        <v>0</v>
      </c>
      <c r="BD47" s="28">
        <f t="shared" si="16"/>
        <v>0</v>
      </c>
      <c r="BE47" s="29">
        <f t="shared" si="17"/>
        <v>0</v>
      </c>
      <c r="BF47" s="11">
        <f t="shared" si="18"/>
        <v>0</v>
      </c>
    </row>
    <row r="48" spans="1:58" ht="17.25" thickBot="1">
      <c r="A48" s="262" t="s">
        <v>77</v>
      </c>
      <c r="B48" s="191"/>
      <c r="C48" s="49" t="str">
        <f>IF(EXACT('변경(260104_260131)'!C48,'원번표(수정불가)'!C48)=$BS$9,"","변경")</f>
        <v/>
      </c>
      <c r="D48" s="48" t="str">
        <f>IF(EXACT('변경(260104_260131)'!D48,'원번표(수정불가)'!D48)=$BS$9,"","변경")</f>
        <v/>
      </c>
      <c r="E48" s="48" t="str">
        <f>IF(EXACT('변경(260104_260131)'!E48,'원번표(수정불가)'!E48)=$BS$9,"","변경")</f>
        <v/>
      </c>
      <c r="F48" s="48" t="str">
        <f>IF(EXACT('변경(260104_260131)'!F48,'원번표(수정불가)'!F48)=$BS$9,"","변경")</f>
        <v/>
      </c>
      <c r="G48" s="48" t="str">
        <f>IF(EXACT('변경(260104_260131)'!G48,'원번표(수정불가)'!G48)=$BS$9,"","변경")</f>
        <v/>
      </c>
      <c r="H48" s="48" t="str">
        <f>IF(EXACT('변경(260104_260131)'!H48,'원번표(수정불가)'!H48)=$BS$9,"","변경")</f>
        <v/>
      </c>
      <c r="I48" s="136" t="str">
        <f>IF(EXACT('변경(260104_260131)'!I48,'원번표(수정불가)'!I48)=$BS$9,"","변경")</f>
        <v/>
      </c>
      <c r="J48" s="49" t="str">
        <f>IF(EXACT('변경(260104_260131)'!J48,'원번표(수정불가)'!J48)=$BS$9,"","변경")</f>
        <v/>
      </c>
      <c r="K48" s="48" t="str">
        <f>IF(EXACT('변경(260104_260131)'!K48,'원번표(수정불가)'!K48)=$BS$9,"","변경")</f>
        <v/>
      </c>
      <c r="L48" s="48" t="str">
        <f>IF(EXACT('변경(260104_260131)'!L48,'원번표(수정불가)'!L48)=$BS$9,"","변경")</f>
        <v/>
      </c>
      <c r="M48" s="48" t="str">
        <f>IF(EXACT('변경(260104_260131)'!M48,'원번표(수정불가)'!M48)=$BS$9,"","변경")</f>
        <v/>
      </c>
      <c r="N48" s="48" t="str">
        <f>IF(EXACT('변경(260104_260131)'!N48,'원번표(수정불가)'!N48)=$BS$9,"","변경")</f>
        <v/>
      </c>
      <c r="O48" s="48" t="str">
        <f>IF(EXACT('변경(260104_260131)'!O48,'원번표(수정불가)'!O48)=$BS$9,"","변경")</f>
        <v/>
      </c>
      <c r="P48" s="50" t="str">
        <f>IF(EXACT('변경(260104_260131)'!P48,'원번표(수정불가)'!P48)=$BS$9,"","변경")</f>
        <v/>
      </c>
      <c r="Q48" s="133" t="str">
        <f>IF(EXACT('변경(260104_260131)'!Q48,'원번표(수정불가)'!Q48)=$BS$9,"","변경")</f>
        <v/>
      </c>
      <c r="R48" s="48" t="str">
        <f>IF(EXACT('변경(260104_260131)'!R48,'원번표(수정불가)'!R48)=$BS$9,"","변경")</f>
        <v/>
      </c>
      <c r="S48" s="48" t="str">
        <f>IF(EXACT('변경(260104_260131)'!S48,'원번표(수정불가)'!S48)=$BS$9,"","변경")</f>
        <v/>
      </c>
      <c r="T48" s="48" t="str">
        <f>IF(EXACT('변경(260104_260131)'!T48,'원번표(수정불가)'!T48)=$BS$9,"","변경")</f>
        <v/>
      </c>
      <c r="U48" s="48" t="str">
        <f>IF(EXACT('변경(260104_260131)'!U48,'원번표(수정불가)'!U48)=$BS$9,"","변경")</f>
        <v/>
      </c>
      <c r="V48" s="48" t="str">
        <f>IF(EXACT('변경(260104_260131)'!V48,'원번표(수정불가)'!V48)=$BS$9,"","변경")</f>
        <v/>
      </c>
      <c r="W48" s="136" t="str">
        <f>IF(EXACT('변경(260104_260131)'!W48,'원번표(수정불가)'!W48)=$BS$9,"","변경")</f>
        <v/>
      </c>
      <c r="X48" s="49" t="str">
        <f>IF(EXACT('변경(260104_260131)'!X48,'원번표(수정불가)'!X48)=$BS$9,"","변경")</f>
        <v/>
      </c>
      <c r="Y48" s="48" t="str">
        <f>IF(EXACT('변경(260104_260131)'!Y48,'원번표(수정불가)'!Y48)=$BS$9,"","변경")</f>
        <v/>
      </c>
      <c r="Z48" s="48" t="str">
        <f>IF(EXACT('변경(260104_260131)'!Z48,'원번표(수정불가)'!Z48)=$BS$9,"","변경")</f>
        <v/>
      </c>
      <c r="AA48" s="48" t="str">
        <f>IF(EXACT('변경(260104_260131)'!AA48,'원번표(수정불가)'!AA48)=$BS$9,"","변경")</f>
        <v/>
      </c>
      <c r="AB48" s="48" t="str">
        <f>IF(EXACT('변경(260104_260131)'!AB48,'원번표(수정불가)'!AB48)=$BS$9,"","변경")</f>
        <v/>
      </c>
      <c r="AC48" s="48" t="str">
        <f>IF(EXACT('변경(260104_260131)'!AC48,'원번표(수정불가)'!AC48)=$BS$9,"","변경")</f>
        <v/>
      </c>
      <c r="AD48" s="136" t="str">
        <f>IF(EXACT('변경(260104_260131)'!AD48,'원번표(수정불가)'!AD48)=$BS$9,"","변경")</f>
        <v/>
      </c>
      <c r="AE48" s="202">
        <f t="shared" si="0"/>
        <v>0</v>
      </c>
      <c r="AF48" s="203">
        <f t="shared" si="19"/>
        <v>0</v>
      </c>
      <c r="AG48" s="106"/>
      <c r="AH48" s="110"/>
      <c r="AI48" s="106"/>
      <c r="AJ48" s="106"/>
      <c r="AK48" s="177">
        <f t="shared" si="58"/>
        <v>0</v>
      </c>
      <c r="AL48" s="53">
        <f t="shared" si="59"/>
        <v>0</v>
      </c>
      <c r="AM48" s="79">
        <f t="shared" si="60"/>
        <v>0</v>
      </c>
      <c r="AN48" s="79">
        <f t="shared" si="60"/>
        <v>0</v>
      </c>
      <c r="AO48" s="79">
        <f t="shared" si="61"/>
        <v>0</v>
      </c>
      <c r="AP48" s="79">
        <f t="shared" si="61"/>
        <v>0</v>
      </c>
      <c r="AQ48" s="79">
        <f t="shared" si="62"/>
        <v>0</v>
      </c>
      <c r="AR48" s="79">
        <f t="shared" si="62"/>
        <v>0</v>
      </c>
      <c r="AS48" s="262" t="s">
        <v>77</v>
      </c>
      <c r="AT48" s="17">
        <f t="shared" si="6"/>
        <v>0</v>
      </c>
      <c r="AU48" s="17">
        <f t="shared" si="7"/>
        <v>0</v>
      </c>
      <c r="AV48" s="17">
        <f t="shared" si="8"/>
        <v>0</v>
      </c>
      <c r="AW48" s="11">
        <f t="shared" si="9"/>
        <v>0</v>
      </c>
      <c r="AX48" s="11">
        <f t="shared" si="10"/>
        <v>0</v>
      </c>
      <c r="AY48" s="11">
        <f t="shared" si="11"/>
        <v>0</v>
      </c>
      <c r="AZ48" s="11">
        <f t="shared" si="12"/>
        <v>0</v>
      </c>
      <c r="BA48" s="11">
        <f t="shared" si="13"/>
        <v>0</v>
      </c>
      <c r="BB48" s="11">
        <f t="shared" si="14"/>
        <v>0</v>
      </c>
      <c r="BC48" s="11">
        <f t="shared" si="15"/>
        <v>0</v>
      </c>
      <c r="BD48" s="28">
        <f t="shared" si="16"/>
        <v>0</v>
      </c>
      <c r="BE48" s="29">
        <f t="shared" si="17"/>
        <v>0</v>
      </c>
      <c r="BF48" s="11">
        <f t="shared" si="18"/>
        <v>0</v>
      </c>
    </row>
    <row r="49" spans="1:58">
      <c r="A49" s="146"/>
      <c r="B49" s="82"/>
      <c r="C49" s="83"/>
      <c r="D49" s="83"/>
      <c r="E49" s="83"/>
      <c r="F49" s="83"/>
      <c r="G49" s="83"/>
      <c r="H49" s="83"/>
      <c r="I49" s="83"/>
      <c r="J49" s="84"/>
      <c r="K49" s="84"/>
      <c r="L49" s="83"/>
      <c r="M49" s="83"/>
      <c r="N49" s="83"/>
      <c r="O49" s="83"/>
      <c r="P49" s="83"/>
      <c r="Q49" s="128"/>
      <c r="R49" s="83"/>
      <c r="S49" s="83"/>
      <c r="T49" s="83"/>
      <c r="U49" s="83"/>
      <c r="V49" s="83"/>
      <c r="W49" s="83"/>
      <c r="X49" s="83"/>
      <c r="Y49" s="86"/>
      <c r="Z49" s="83"/>
      <c r="AA49" s="83"/>
      <c r="AB49" s="83"/>
      <c r="AC49" s="84"/>
      <c r="AD49" s="83"/>
      <c r="AE49" s="87"/>
      <c r="AF49" s="87"/>
      <c r="AG49" s="111"/>
      <c r="AH49" s="111"/>
      <c r="AI49" s="112"/>
      <c r="AJ49" s="111"/>
      <c r="AK49" s="88"/>
      <c r="AL49" s="91"/>
      <c r="AM49" s="91"/>
      <c r="AN49" s="88"/>
      <c r="AO49" s="88"/>
      <c r="AP49" s="91"/>
      <c r="AQ49" s="91"/>
      <c r="AR49" s="92"/>
      <c r="AS49" s="154"/>
      <c r="AT49" s="88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</row>
    <row r="50" spans="1:58">
      <c r="A50" s="147" t="s">
        <v>20</v>
      </c>
      <c r="B50" s="93"/>
      <c r="C50" s="94">
        <f t="shared" ref="C50:AD52" si="63">COUNTIF(C$7:C$40,$A50)</f>
        <v>0</v>
      </c>
      <c r="D50" s="94">
        <f t="shared" si="63"/>
        <v>0</v>
      </c>
      <c r="E50" s="94">
        <f t="shared" si="63"/>
        <v>0</v>
      </c>
      <c r="F50" s="94">
        <f t="shared" si="63"/>
        <v>0</v>
      </c>
      <c r="G50" s="94">
        <f t="shared" si="63"/>
        <v>0</v>
      </c>
      <c r="H50" s="94">
        <f t="shared" si="63"/>
        <v>0</v>
      </c>
      <c r="I50" s="94">
        <f t="shared" si="63"/>
        <v>0</v>
      </c>
      <c r="J50" s="94">
        <f t="shared" si="63"/>
        <v>0</v>
      </c>
      <c r="K50" s="94">
        <f t="shared" si="63"/>
        <v>0</v>
      </c>
      <c r="L50" s="94">
        <f t="shared" si="63"/>
        <v>0</v>
      </c>
      <c r="M50" s="94">
        <f t="shared" si="63"/>
        <v>0</v>
      </c>
      <c r="N50" s="94">
        <f t="shared" si="63"/>
        <v>0</v>
      </c>
      <c r="O50" s="94">
        <f t="shared" si="63"/>
        <v>0</v>
      </c>
      <c r="P50" s="94">
        <f t="shared" si="63"/>
        <v>0</v>
      </c>
      <c r="Q50" s="94">
        <f t="shared" si="63"/>
        <v>0</v>
      </c>
      <c r="R50" s="94">
        <f t="shared" si="63"/>
        <v>0</v>
      </c>
      <c r="S50" s="94">
        <f t="shared" si="63"/>
        <v>0</v>
      </c>
      <c r="T50" s="94">
        <f t="shared" si="63"/>
        <v>0</v>
      </c>
      <c r="U50" s="94">
        <f t="shared" si="63"/>
        <v>0</v>
      </c>
      <c r="V50" s="94">
        <f t="shared" si="63"/>
        <v>0</v>
      </c>
      <c r="W50" s="94">
        <f t="shared" si="63"/>
        <v>0</v>
      </c>
      <c r="X50" s="94">
        <f t="shared" si="63"/>
        <v>0</v>
      </c>
      <c r="Y50" s="94">
        <f t="shared" si="63"/>
        <v>0</v>
      </c>
      <c r="Z50" s="94">
        <f t="shared" si="63"/>
        <v>0</v>
      </c>
      <c r="AA50" s="94">
        <f t="shared" si="63"/>
        <v>0</v>
      </c>
      <c r="AB50" s="94">
        <f t="shared" si="63"/>
        <v>0</v>
      </c>
      <c r="AC50" s="94">
        <f t="shared" si="63"/>
        <v>0</v>
      </c>
      <c r="AD50" s="94">
        <f t="shared" si="63"/>
        <v>0</v>
      </c>
      <c r="AE50" s="87"/>
      <c r="AF50" s="87"/>
      <c r="AG50" s="111"/>
      <c r="AH50" s="111"/>
      <c r="AI50" s="112"/>
      <c r="AJ50" s="111"/>
      <c r="AK50" s="88"/>
      <c r="AL50" s="91"/>
      <c r="AM50" s="91"/>
      <c r="AN50" s="88"/>
      <c r="AO50" s="88"/>
      <c r="AP50" s="91"/>
      <c r="AQ50" s="91"/>
      <c r="AR50" s="92"/>
      <c r="AS50" s="154"/>
      <c r="AT50" s="88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</row>
    <row r="51" spans="1:58">
      <c r="A51" s="147" t="s">
        <v>25</v>
      </c>
      <c r="B51" s="93"/>
      <c r="C51" s="94">
        <f t="shared" si="63"/>
        <v>0</v>
      </c>
      <c r="D51" s="94">
        <f t="shared" si="63"/>
        <v>0</v>
      </c>
      <c r="E51" s="94">
        <f t="shared" si="63"/>
        <v>0</v>
      </c>
      <c r="F51" s="94">
        <f t="shared" si="63"/>
        <v>0</v>
      </c>
      <c r="G51" s="94">
        <f t="shared" si="63"/>
        <v>0</v>
      </c>
      <c r="H51" s="94">
        <f t="shared" si="63"/>
        <v>0</v>
      </c>
      <c r="I51" s="94">
        <f t="shared" si="63"/>
        <v>0</v>
      </c>
      <c r="J51" s="94">
        <f t="shared" si="63"/>
        <v>0</v>
      </c>
      <c r="K51" s="94">
        <f t="shared" si="63"/>
        <v>0</v>
      </c>
      <c r="L51" s="94">
        <f t="shared" si="63"/>
        <v>0</v>
      </c>
      <c r="M51" s="94">
        <f t="shared" si="63"/>
        <v>0</v>
      </c>
      <c r="N51" s="94">
        <f t="shared" si="63"/>
        <v>0</v>
      </c>
      <c r="O51" s="94">
        <f t="shared" si="63"/>
        <v>0</v>
      </c>
      <c r="P51" s="94">
        <f t="shared" si="63"/>
        <v>0</v>
      </c>
      <c r="Q51" s="94">
        <f t="shared" si="63"/>
        <v>0</v>
      </c>
      <c r="R51" s="94">
        <f t="shared" si="63"/>
        <v>0</v>
      </c>
      <c r="S51" s="94">
        <f t="shared" si="63"/>
        <v>0</v>
      </c>
      <c r="T51" s="94">
        <f t="shared" si="63"/>
        <v>0</v>
      </c>
      <c r="U51" s="94">
        <f t="shared" si="63"/>
        <v>0</v>
      </c>
      <c r="V51" s="94">
        <f t="shared" si="63"/>
        <v>0</v>
      </c>
      <c r="W51" s="94">
        <f t="shared" si="63"/>
        <v>0</v>
      </c>
      <c r="X51" s="94">
        <f t="shared" si="63"/>
        <v>0</v>
      </c>
      <c r="Y51" s="94">
        <f t="shared" si="63"/>
        <v>0</v>
      </c>
      <c r="Z51" s="94">
        <f t="shared" si="63"/>
        <v>0</v>
      </c>
      <c r="AA51" s="94">
        <f t="shared" si="63"/>
        <v>0</v>
      </c>
      <c r="AB51" s="94">
        <f t="shared" si="63"/>
        <v>0</v>
      </c>
      <c r="AC51" s="94">
        <f t="shared" si="63"/>
        <v>0</v>
      </c>
      <c r="AD51" s="94">
        <f t="shared" si="63"/>
        <v>0</v>
      </c>
      <c r="AE51" s="87"/>
      <c r="AF51" s="87"/>
      <c r="AG51" s="111"/>
      <c r="AH51" s="111"/>
      <c r="AI51" s="112"/>
      <c r="AJ51" s="111"/>
      <c r="AK51" s="88"/>
      <c r="AL51" s="91"/>
      <c r="AM51" s="91"/>
      <c r="AN51" s="88"/>
      <c r="AO51" s="88"/>
      <c r="AP51" s="91"/>
      <c r="AQ51" s="91"/>
      <c r="AR51" s="92"/>
      <c r="AS51" s="154"/>
      <c r="AT51" s="88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</row>
    <row r="52" spans="1:58">
      <c r="A52" s="147" t="s">
        <v>6</v>
      </c>
      <c r="B52" s="93"/>
      <c r="C52" s="94">
        <f t="shared" si="63"/>
        <v>0</v>
      </c>
      <c r="D52" s="94">
        <f t="shared" si="63"/>
        <v>0</v>
      </c>
      <c r="E52" s="94">
        <f t="shared" si="63"/>
        <v>0</v>
      </c>
      <c r="F52" s="94">
        <f t="shared" si="63"/>
        <v>0</v>
      </c>
      <c r="G52" s="94">
        <f t="shared" si="63"/>
        <v>0</v>
      </c>
      <c r="H52" s="94">
        <f t="shared" si="63"/>
        <v>0</v>
      </c>
      <c r="I52" s="94">
        <f t="shared" si="63"/>
        <v>0</v>
      </c>
      <c r="J52" s="94">
        <f t="shared" si="63"/>
        <v>0</v>
      </c>
      <c r="K52" s="94">
        <f t="shared" si="63"/>
        <v>0</v>
      </c>
      <c r="L52" s="94">
        <f t="shared" si="63"/>
        <v>0</v>
      </c>
      <c r="M52" s="94">
        <f t="shared" si="63"/>
        <v>0</v>
      </c>
      <c r="N52" s="94">
        <f t="shared" si="63"/>
        <v>0</v>
      </c>
      <c r="O52" s="94">
        <f t="shared" si="63"/>
        <v>0</v>
      </c>
      <c r="P52" s="94">
        <f t="shared" si="63"/>
        <v>0</v>
      </c>
      <c r="Q52" s="94">
        <f t="shared" si="63"/>
        <v>0</v>
      </c>
      <c r="R52" s="94">
        <f t="shared" si="63"/>
        <v>0</v>
      </c>
      <c r="S52" s="94">
        <f t="shared" si="63"/>
        <v>0</v>
      </c>
      <c r="T52" s="94">
        <f t="shared" si="63"/>
        <v>0</v>
      </c>
      <c r="U52" s="94">
        <f t="shared" si="63"/>
        <v>0</v>
      </c>
      <c r="V52" s="94">
        <f t="shared" si="63"/>
        <v>0</v>
      </c>
      <c r="W52" s="94">
        <f t="shared" si="63"/>
        <v>0</v>
      </c>
      <c r="X52" s="94">
        <f t="shared" si="63"/>
        <v>0</v>
      </c>
      <c r="Y52" s="94">
        <f t="shared" si="63"/>
        <v>0</v>
      </c>
      <c r="Z52" s="94">
        <f t="shared" si="63"/>
        <v>0</v>
      </c>
      <c r="AA52" s="94">
        <f t="shared" si="63"/>
        <v>0</v>
      </c>
      <c r="AB52" s="94">
        <f t="shared" si="63"/>
        <v>0</v>
      </c>
      <c r="AC52" s="94">
        <f t="shared" si="63"/>
        <v>0</v>
      </c>
      <c r="AD52" s="94">
        <f t="shared" si="63"/>
        <v>0</v>
      </c>
      <c r="AE52" s="87"/>
      <c r="AF52" s="87"/>
      <c r="AG52" s="111"/>
      <c r="AH52" s="111"/>
      <c r="AI52" s="112"/>
      <c r="AJ52" s="111"/>
      <c r="AK52" s="88"/>
      <c r="AL52" s="91"/>
      <c r="AM52" s="91"/>
      <c r="AN52" s="88"/>
      <c r="AO52" s="88"/>
      <c r="AP52" s="91"/>
      <c r="AQ52" s="91"/>
      <c r="AR52" s="92"/>
      <c r="AS52" s="154"/>
      <c r="AT52" s="88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</row>
    <row r="53" spans="1:58">
      <c r="A53" s="147" t="s">
        <v>53</v>
      </c>
      <c r="B53" s="93"/>
      <c r="C53" s="90">
        <f t="shared" ref="C53:AD53" si="64">COUNTIF(C$7:C$40,"중")</f>
        <v>0</v>
      </c>
      <c r="D53" s="90">
        <f t="shared" si="64"/>
        <v>0</v>
      </c>
      <c r="E53" s="90">
        <f t="shared" si="64"/>
        <v>0</v>
      </c>
      <c r="F53" s="90">
        <f t="shared" si="64"/>
        <v>0</v>
      </c>
      <c r="G53" s="90">
        <f t="shared" si="64"/>
        <v>0</v>
      </c>
      <c r="H53" s="90">
        <f t="shared" si="64"/>
        <v>0</v>
      </c>
      <c r="I53" s="90">
        <f t="shared" si="64"/>
        <v>0</v>
      </c>
      <c r="J53" s="90">
        <f t="shared" si="64"/>
        <v>0</v>
      </c>
      <c r="K53" s="90">
        <f t="shared" si="64"/>
        <v>0</v>
      </c>
      <c r="L53" s="90">
        <f t="shared" si="64"/>
        <v>0</v>
      </c>
      <c r="M53" s="90">
        <f t="shared" si="64"/>
        <v>0</v>
      </c>
      <c r="N53" s="90">
        <f t="shared" si="64"/>
        <v>0</v>
      </c>
      <c r="O53" s="90">
        <f t="shared" si="64"/>
        <v>0</v>
      </c>
      <c r="P53" s="90">
        <f t="shared" si="64"/>
        <v>0</v>
      </c>
      <c r="Q53" s="90">
        <f t="shared" si="64"/>
        <v>0</v>
      </c>
      <c r="R53" s="90">
        <f t="shared" si="64"/>
        <v>0</v>
      </c>
      <c r="S53" s="90">
        <f t="shared" si="64"/>
        <v>0</v>
      </c>
      <c r="T53" s="90">
        <f t="shared" si="64"/>
        <v>0</v>
      </c>
      <c r="U53" s="90">
        <f t="shared" si="64"/>
        <v>0</v>
      </c>
      <c r="V53" s="90">
        <f t="shared" si="64"/>
        <v>0</v>
      </c>
      <c r="W53" s="90">
        <f t="shared" si="64"/>
        <v>0</v>
      </c>
      <c r="X53" s="90">
        <f t="shared" si="64"/>
        <v>0</v>
      </c>
      <c r="Y53" s="90">
        <f t="shared" si="64"/>
        <v>0</v>
      </c>
      <c r="Z53" s="90">
        <f t="shared" si="64"/>
        <v>0</v>
      </c>
      <c r="AA53" s="90">
        <f t="shared" si="64"/>
        <v>0</v>
      </c>
      <c r="AB53" s="90">
        <f t="shared" si="64"/>
        <v>0</v>
      </c>
      <c r="AC53" s="90">
        <f t="shared" si="64"/>
        <v>0</v>
      </c>
      <c r="AD53" s="90">
        <f t="shared" si="64"/>
        <v>0</v>
      </c>
      <c r="AE53" s="87"/>
      <c r="AF53" s="87"/>
      <c r="AG53" s="88"/>
      <c r="AH53" s="88"/>
      <c r="AI53" s="89"/>
      <c r="AJ53" s="88"/>
      <c r="AK53" s="88"/>
      <c r="AL53" s="91"/>
      <c r="AM53" s="91"/>
      <c r="AN53" s="88"/>
      <c r="AO53" s="88"/>
      <c r="AP53" s="91"/>
      <c r="AQ53" s="91"/>
      <c r="AR53" s="92"/>
      <c r="AS53" s="154"/>
      <c r="AT53" s="88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</row>
    <row r="54" spans="1:58">
      <c r="A54" s="147" t="s">
        <v>54</v>
      </c>
      <c r="B54" s="93"/>
      <c r="C54" s="90">
        <f t="shared" ref="C54:AD54" si="65">COUNTIF(C$7:C$45,"중2")</f>
        <v>0</v>
      </c>
      <c r="D54" s="90">
        <f t="shared" si="65"/>
        <v>0</v>
      </c>
      <c r="E54" s="90">
        <f t="shared" si="65"/>
        <v>0</v>
      </c>
      <c r="F54" s="90">
        <f t="shared" si="65"/>
        <v>0</v>
      </c>
      <c r="G54" s="90">
        <f t="shared" si="65"/>
        <v>0</v>
      </c>
      <c r="H54" s="90">
        <f t="shared" si="65"/>
        <v>0</v>
      </c>
      <c r="I54" s="90">
        <f t="shared" si="65"/>
        <v>0</v>
      </c>
      <c r="J54" s="90">
        <f t="shared" si="65"/>
        <v>0</v>
      </c>
      <c r="K54" s="90">
        <f t="shared" si="65"/>
        <v>0</v>
      </c>
      <c r="L54" s="90">
        <f t="shared" si="65"/>
        <v>0</v>
      </c>
      <c r="M54" s="90">
        <f t="shared" si="65"/>
        <v>0</v>
      </c>
      <c r="N54" s="90">
        <f t="shared" si="65"/>
        <v>0</v>
      </c>
      <c r="O54" s="90">
        <f t="shared" si="65"/>
        <v>0</v>
      </c>
      <c r="P54" s="90">
        <f t="shared" si="65"/>
        <v>0</v>
      </c>
      <c r="Q54" s="90">
        <f t="shared" si="65"/>
        <v>0</v>
      </c>
      <c r="R54" s="90">
        <f t="shared" si="65"/>
        <v>0</v>
      </c>
      <c r="S54" s="90">
        <f t="shared" si="65"/>
        <v>0</v>
      </c>
      <c r="T54" s="90">
        <f t="shared" si="65"/>
        <v>0</v>
      </c>
      <c r="U54" s="90">
        <f t="shared" si="65"/>
        <v>0</v>
      </c>
      <c r="V54" s="90">
        <f t="shared" si="65"/>
        <v>0</v>
      </c>
      <c r="W54" s="90">
        <f t="shared" si="65"/>
        <v>0</v>
      </c>
      <c r="X54" s="90">
        <f t="shared" si="65"/>
        <v>0</v>
      </c>
      <c r="Y54" s="90">
        <f t="shared" si="65"/>
        <v>0</v>
      </c>
      <c r="Z54" s="90">
        <f t="shared" si="65"/>
        <v>0</v>
      </c>
      <c r="AA54" s="90">
        <f t="shared" si="65"/>
        <v>0</v>
      </c>
      <c r="AB54" s="90">
        <f t="shared" si="65"/>
        <v>0</v>
      </c>
      <c r="AC54" s="90">
        <f t="shared" si="65"/>
        <v>0</v>
      </c>
      <c r="AD54" s="90">
        <f t="shared" si="65"/>
        <v>0</v>
      </c>
      <c r="AE54" s="87"/>
      <c r="AF54" s="87"/>
      <c r="AG54" s="88"/>
      <c r="AH54" s="88"/>
      <c r="AI54" s="89"/>
      <c r="AJ54" s="88"/>
      <c r="AK54" s="88"/>
      <c r="AL54" s="91"/>
      <c r="AM54" s="91"/>
      <c r="AN54" s="88"/>
      <c r="AO54" s="88"/>
      <c r="AP54" s="91"/>
      <c r="AQ54" s="91"/>
      <c r="AR54" s="92"/>
      <c r="AS54" s="154"/>
      <c r="AT54" s="88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</row>
  </sheetData>
  <sheetProtection algorithmName="SHA-512" hashValue="+1C/baPufsCt3npP6uRXi5lidynHPhe/Md915A2lQEpnptrUtEmCOVLSASqNTuzlbNtmNzKiYuiHykFNnWrubw==" saltValue="YEcvudNs3UupXKokG9p5SQ==" spinCount="100000" sheet="1" formatCells="0" formatColumns="0" formatRows="0" insertColumns="0" insertRows="0" insertHyperlinks="0" deleteColumns="0" deleteRows="0" sort="0" autoFilter="0" pivotTables="0"/>
  <mergeCells count="3">
    <mergeCell ref="A1:AD2"/>
    <mergeCell ref="J3:U3"/>
    <mergeCell ref="AI4:AJ5"/>
  </mergeCells>
  <phoneticPr fontId="1" type="noConversion"/>
  <conditionalFormatting sqref="C49:AD49">
    <cfRule type="containsText" dxfId="75" priority="126" operator="containsText" text="중">
      <formula>NOT(ISERROR(SEARCH("중",C49)))</formula>
    </cfRule>
  </conditionalFormatting>
  <conditionalFormatting sqref="AF1:BF6 AF7:AJ16 AF31:AR48 AX31:AX48 AT44:AW48 AY44:BF48 AF18:AJ29">
    <cfRule type="containsText" dxfId="74" priority="125" operator="containsText" text="보수">
      <formula>NOT(ISERROR(SEARCH("보수",AF1)))</formula>
    </cfRule>
  </conditionalFormatting>
  <conditionalFormatting sqref="C50">
    <cfRule type="cellIs" dxfId="73" priority="123" operator="lessThan">
      <formula>6</formula>
    </cfRule>
    <cfRule type="cellIs" dxfId="72" priority="124" operator="greaterThan">
      <formula>6</formula>
    </cfRule>
  </conditionalFormatting>
  <conditionalFormatting sqref="D50:AD50">
    <cfRule type="cellIs" dxfId="71" priority="119" operator="lessThan">
      <formula>6</formula>
    </cfRule>
    <cfRule type="cellIs" dxfId="70" priority="120" operator="greaterThan">
      <formula>6</formula>
    </cfRule>
  </conditionalFormatting>
  <conditionalFormatting sqref="C52">
    <cfRule type="cellIs" dxfId="69" priority="118" operator="greaterThan">
      <formula>7</formula>
    </cfRule>
  </conditionalFormatting>
  <conditionalFormatting sqref="C51">
    <cfRule type="cellIs" dxfId="68" priority="116" operator="lessThan">
      <formula>6</formula>
    </cfRule>
    <cfRule type="cellIs" dxfId="67" priority="117" operator="greaterThan">
      <formula>6</formula>
    </cfRule>
  </conditionalFormatting>
  <conditionalFormatting sqref="D51:AD51">
    <cfRule type="cellIs" dxfId="66" priority="114" operator="lessThan">
      <formula>6</formula>
    </cfRule>
    <cfRule type="cellIs" dxfId="65" priority="115" operator="greaterThan">
      <formula>6</formula>
    </cfRule>
  </conditionalFormatting>
  <conditionalFormatting sqref="D52:AD52">
    <cfRule type="cellIs" dxfId="64" priority="113" operator="greaterThan">
      <formula>7</formula>
    </cfRule>
  </conditionalFormatting>
  <conditionalFormatting sqref="AT39:AW43 AY39:BF43 AT7:BF16 AT31:AW35 AY31:BF35 AT18:BF29">
    <cfRule type="containsText" dxfId="63" priority="91" operator="containsText" text="보수">
      <formula>NOT(ISERROR(SEARCH("보수",AT7)))</formula>
    </cfRule>
  </conditionalFormatting>
  <conditionalFormatting sqref="AE1:AE16 AE31:AE35 AE39:AE1048576 AE18:AE29">
    <cfRule type="cellIs" dxfId="62" priority="92" operator="lessThan">
      <formula>11</formula>
    </cfRule>
    <cfRule type="cellIs" dxfId="61" priority="93" operator="greaterThan">
      <formula>11</formula>
    </cfRule>
  </conditionalFormatting>
  <conditionalFormatting sqref="AF7:AH16 AF31:AH35 AF39:AH48 AF18:AH29">
    <cfRule type="cellIs" dxfId="60" priority="100" operator="greaterThan">
      <formula>6</formula>
    </cfRule>
  </conditionalFormatting>
  <conditionalFormatting sqref="AF19">
    <cfRule type="containsText" dxfId="59" priority="90" operator="containsText" text="D">
      <formula>NOT(ISERROR(SEARCH("D",AF19)))</formula>
    </cfRule>
  </conditionalFormatting>
  <conditionalFormatting sqref="AF7:AG7">
    <cfRule type="containsText" dxfId="58" priority="102" operator="containsText" text="E">
      <formula>NOT(ISERROR(SEARCH("E",AF7)))</formula>
    </cfRule>
  </conditionalFormatting>
  <conditionalFormatting sqref="AJ3">
    <cfRule type="cellIs" dxfId="57" priority="104" operator="greaterThan">
      <formula>5</formula>
    </cfRule>
  </conditionalFormatting>
  <conditionalFormatting sqref="AX7:AX16 AX31:AX48 AL44:AN48 AX18:AX29">
    <cfRule type="containsText" dxfId="56" priority="103" operator="containsText" text="0">
      <formula>NOT(ISERROR(SEARCH("0",AL7)))</formula>
    </cfRule>
  </conditionalFormatting>
  <conditionalFormatting sqref="AL49:AM54">
    <cfRule type="cellIs" dxfId="55" priority="96" operator="greaterThan">
      <formula>6</formula>
    </cfRule>
  </conditionalFormatting>
  <conditionalFormatting sqref="AZ7:AZ16 BC7:BC16 AZ31:AZ35 BC31:BC35 BC39:BC48 AZ39:AZ48 BC18:BC29 AZ18:AZ29">
    <cfRule type="cellIs" dxfId="54" priority="97" operator="lessThan">
      <formula>4</formula>
    </cfRule>
  </conditionalFormatting>
  <conditionalFormatting sqref="AF7:AF16 AF31:AF35 AF39:AF48 AF18:AF29">
    <cfRule type="cellIs" dxfId="53" priority="89" operator="lessThan">
      <formula>6</formula>
    </cfRule>
  </conditionalFormatting>
  <conditionalFormatting sqref="AT36:AW38 AY36:BF38">
    <cfRule type="containsText" dxfId="52" priority="79" operator="containsText" text="보수">
      <formula>NOT(ISERROR(SEARCH("보수",AT36)))</formula>
    </cfRule>
  </conditionalFormatting>
  <conditionalFormatting sqref="AE36:AE38">
    <cfRule type="cellIs" dxfId="51" priority="80" operator="lessThan">
      <formula>11</formula>
    </cfRule>
    <cfRule type="cellIs" dxfId="50" priority="81" operator="greaterThan">
      <formula>11</formula>
    </cfRule>
  </conditionalFormatting>
  <conditionalFormatting sqref="AF36:AH38">
    <cfRule type="cellIs" dxfId="49" priority="85" operator="greaterThan">
      <formula>6</formula>
    </cfRule>
  </conditionalFormatting>
  <conditionalFormatting sqref="AZ36:AZ38 BC36:BC38">
    <cfRule type="cellIs" dxfId="48" priority="84" operator="lessThan">
      <formula>4</formula>
    </cfRule>
  </conditionalFormatting>
  <conditionalFormatting sqref="AF36:AF38">
    <cfRule type="cellIs" dxfId="47" priority="78" operator="lessThan">
      <formula>6</formula>
    </cfRule>
  </conditionalFormatting>
  <conditionalFormatting sqref="C7:AD16 Q17:AD17 C31:AD48 C18:AD29">
    <cfRule type="containsText" dxfId="46" priority="64" operator="containsText" text="변경">
      <formula>NOT(ISERROR(SEARCH("변경",C7)))</formula>
    </cfRule>
  </conditionalFormatting>
  <conditionalFormatting sqref="AF17:AJ17 AT17:BF17">
    <cfRule type="containsText" dxfId="45" priority="62" operator="containsText" text="보수">
      <formula>NOT(ISERROR(SEARCH("보수",AF17)))</formula>
    </cfRule>
  </conditionalFormatting>
  <conditionalFormatting sqref="AE17">
    <cfRule type="cellIs" dxfId="44" priority="54" operator="lessThan">
      <formula>11</formula>
    </cfRule>
    <cfRule type="cellIs" dxfId="43" priority="55" operator="greaterThan">
      <formula>11</formula>
    </cfRule>
  </conditionalFormatting>
  <conditionalFormatting sqref="AF17:AH17">
    <cfRule type="cellIs" dxfId="42" priority="59" operator="greaterThan">
      <formula>6</formula>
    </cfRule>
  </conditionalFormatting>
  <conditionalFormatting sqref="AX17">
    <cfRule type="containsText" dxfId="41" priority="60" operator="containsText" text="0">
      <formula>NOT(ISERROR(SEARCH("0",AX17)))</formula>
    </cfRule>
  </conditionalFormatting>
  <conditionalFormatting sqref="AZ17 BC17">
    <cfRule type="cellIs" dxfId="40" priority="58" operator="lessThan">
      <formula>4</formula>
    </cfRule>
  </conditionalFormatting>
  <conditionalFormatting sqref="AF17">
    <cfRule type="cellIs" dxfId="39" priority="53" operator="lessThan">
      <formula>6</formula>
    </cfRule>
  </conditionalFormatting>
  <conditionalFormatting sqref="AK7:AR16 AK18:AR29">
    <cfRule type="containsText" dxfId="38" priority="51" operator="containsText" text="보수">
      <formula>NOT(ISERROR(SEARCH("보수",AK7)))</formula>
    </cfRule>
  </conditionalFormatting>
  <conditionalFormatting sqref="AN22 AK7:AR16 AK23:AK27 AM23:AR27 AL22:AL27 AK18:AR21 AL31:AL35 AL39:AL48 AL29 AK28:AR28">
    <cfRule type="expression" dxfId="37" priority="49">
      <formula>ET7=0</formula>
    </cfRule>
  </conditionalFormatting>
  <conditionalFormatting sqref="AL32:AN35 AK7:AR16 AL39:AN43 AK31:AR31 AK18:AR29">
    <cfRule type="containsText" dxfId="36" priority="48" operator="containsText" text="0">
      <formula>NOT(ISERROR(SEARCH("0",AK7)))</formula>
    </cfRule>
  </conditionalFormatting>
  <conditionalFormatting sqref="AK7:AR16 AK31:AR35 AK39:AR48 AK18:AR29">
    <cfRule type="cellIs" dxfId="35" priority="44" operator="greaterThan">
      <formula>1</formula>
    </cfRule>
  </conditionalFormatting>
  <conditionalFormatting sqref="AK7:AR16 AK31:AR35 AK39:AR48 AK18:AR29">
    <cfRule type="cellIs" dxfId="34" priority="43" operator="lessThan">
      <formula>1</formula>
    </cfRule>
  </conditionalFormatting>
  <conditionalFormatting sqref="AK22 AM22:AR22">
    <cfRule type="expression" dxfId="33" priority="47">
      <formula>ET22=0</formula>
    </cfRule>
  </conditionalFormatting>
  <conditionalFormatting sqref="AK31:AK34 AM31:AR34">
    <cfRule type="expression" dxfId="32" priority="45">
      <formula>ET32=0</formula>
    </cfRule>
  </conditionalFormatting>
  <conditionalFormatting sqref="AN31:AN32">
    <cfRule type="expression" dxfId="31" priority="46">
      <formula>EW32=0</formula>
    </cfRule>
  </conditionalFormatting>
  <conditionalFormatting sqref="AK35 AM35:AR35 AM39:AR43 AK39:AK43">
    <cfRule type="expression" dxfId="30" priority="50">
      <formula>#REF!=0</formula>
    </cfRule>
  </conditionalFormatting>
  <conditionalFormatting sqref="AL36:AL38">
    <cfRule type="expression" dxfId="29" priority="41">
      <formula>EU36=0</formula>
    </cfRule>
  </conditionalFormatting>
  <conditionalFormatting sqref="AL36:AN38">
    <cfRule type="containsText" dxfId="28" priority="40" operator="containsText" text="0">
      <formula>NOT(ISERROR(SEARCH("0",AL36)))</formula>
    </cfRule>
  </conditionalFormatting>
  <conditionalFormatting sqref="AK36:AR38">
    <cfRule type="cellIs" dxfId="27" priority="39" operator="greaterThan">
      <formula>1</formula>
    </cfRule>
  </conditionalFormatting>
  <conditionalFormatting sqref="AK36:AR38">
    <cfRule type="cellIs" dxfId="26" priority="38" operator="lessThan">
      <formula>1</formula>
    </cfRule>
  </conditionalFormatting>
  <conditionalFormatting sqref="AK36:AK38 AM36:AR38 AM44:AR48 AK44:AK48">
    <cfRule type="expression" dxfId="25" priority="42">
      <formula>#REF!=0</formula>
    </cfRule>
  </conditionalFormatting>
  <conditionalFormatting sqref="AK17:AR17">
    <cfRule type="containsText" dxfId="24" priority="31" operator="containsText" text="보수">
      <formula>NOT(ISERROR(SEARCH("보수",AK17)))</formula>
    </cfRule>
  </conditionalFormatting>
  <conditionalFormatting sqref="AK17:AR17">
    <cfRule type="expression" dxfId="23" priority="30">
      <formula>ET17=0</formula>
    </cfRule>
  </conditionalFormatting>
  <conditionalFormatting sqref="AK17:AR17">
    <cfRule type="containsText" dxfId="22" priority="29" operator="containsText" text="0">
      <formula>NOT(ISERROR(SEARCH("0",AK17)))</formula>
    </cfRule>
  </conditionalFormatting>
  <conditionalFormatting sqref="AK17:AR17">
    <cfRule type="cellIs" dxfId="21" priority="28" operator="greaterThan">
      <formula>1</formula>
    </cfRule>
  </conditionalFormatting>
  <conditionalFormatting sqref="AK17:AR17">
    <cfRule type="cellIs" dxfId="20" priority="27" operator="lessThan">
      <formula>1</formula>
    </cfRule>
  </conditionalFormatting>
  <conditionalFormatting sqref="C17:P17">
    <cfRule type="containsText" dxfId="19" priority="26" operator="containsText" text="변경">
      <formula>NOT(ISERROR(SEARCH("변경",C17)))</formula>
    </cfRule>
  </conditionalFormatting>
  <conditionalFormatting sqref="AK29 AM29:AR29">
    <cfRule type="expression" dxfId="18" priority="204">
      <formula>ET31=0</formula>
    </cfRule>
  </conditionalFormatting>
  <conditionalFormatting sqref="AF30:AJ30">
    <cfRule type="containsText" dxfId="17" priority="25" operator="containsText" text="보수">
      <formula>NOT(ISERROR(SEARCH("보수",AF30)))</formula>
    </cfRule>
  </conditionalFormatting>
  <conditionalFormatting sqref="AT30:BF30">
    <cfRule type="containsText" dxfId="16" priority="19" operator="containsText" text="보수">
      <formula>NOT(ISERROR(SEARCH("보수",AT30)))</formula>
    </cfRule>
  </conditionalFormatting>
  <conditionalFormatting sqref="AE30">
    <cfRule type="cellIs" dxfId="15" priority="20" operator="lessThan">
      <formula>11</formula>
    </cfRule>
    <cfRule type="cellIs" dxfId="14" priority="21" operator="greaterThan">
      <formula>11</formula>
    </cfRule>
  </conditionalFormatting>
  <conditionalFormatting sqref="AF30:AH30">
    <cfRule type="cellIs" dxfId="13" priority="23" operator="greaterThan">
      <formula>6</formula>
    </cfRule>
  </conditionalFormatting>
  <conditionalFormatting sqref="AX30">
    <cfRule type="containsText" dxfId="12" priority="24" operator="containsText" text="0">
      <formula>NOT(ISERROR(SEARCH("0",AX30)))</formula>
    </cfRule>
  </conditionalFormatting>
  <conditionalFormatting sqref="BC30 AZ30">
    <cfRule type="cellIs" dxfId="11" priority="22" operator="lessThan">
      <formula>4</formula>
    </cfRule>
  </conditionalFormatting>
  <conditionalFormatting sqref="AF30">
    <cfRule type="cellIs" dxfId="10" priority="18" operator="lessThan">
      <formula>6</formula>
    </cfRule>
  </conditionalFormatting>
  <conditionalFormatting sqref="C30:AD30">
    <cfRule type="containsText" dxfId="9" priority="17" operator="containsText" text="변경">
      <formula>NOT(ISERROR(SEARCH("변경",C30)))</formula>
    </cfRule>
  </conditionalFormatting>
  <conditionalFormatting sqref="AK30:AR30">
    <cfRule type="containsText" dxfId="8" priority="16" operator="containsText" text="보수">
      <formula>NOT(ISERROR(SEARCH("보수",AK30)))</formula>
    </cfRule>
  </conditionalFormatting>
  <conditionalFormatting sqref="AK30:AR30">
    <cfRule type="expression" dxfId="7" priority="15">
      <formula>ET30=0</formula>
    </cfRule>
  </conditionalFormatting>
  <conditionalFormatting sqref="AK30:AR30">
    <cfRule type="containsText" dxfId="6" priority="14" operator="containsText" text="0">
      <formula>NOT(ISERROR(SEARCH("0",AK30)))</formula>
    </cfRule>
  </conditionalFormatting>
  <conditionalFormatting sqref="AK30:AR30">
    <cfRule type="cellIs" dxfId="5" priority="13" operator="greaterThan">
      <formula>1</formula>
    </cfRule>
  </conditionalFormatting>
  <conditionalFormatting sqref="AK30:AR30">
    <cfRule type="cellIs" dxfId="4" priority="12" operator="lessThan">
      <formula>1</formula>
    </cfRule>
  </conditionalFormatting>
  <conditionalFormatting sqref="C4:AD4">
    <cfRule type="containsText" dxfId="3" priority="8" operator="containsText" text="보수">
      <formula>NOT(ISERROR(SEARCH("보수",C4)))</formula>
    </cfRule>
  </conditionalFormatting>
  <conditionalFormatting sqref="J3:U3">
    <cfRule type="containsText" dxfId="2" priority="5" operator="containsText" text="보수">
      <formula>NOT(ISERROR(SEARCH("보수",J3)))</formula>
    </cfRule>
  </conditionalFormatting>
  <conditionalFormatting sqref="A16:A25">
    <cfRule type="containsText" dxfId="1" priority="2" operator="containsText" text="보수">
      <formula>NOT(ISERROR(SEARCH("보수",A16)))</formula>
    </cfRule>
  </conditionalFormatting>
  <conditionalFormatting sqref="AS16:AS25">
    <cfRule type="containsText" dxfId="0" priority="1" operator="containsText" text="보수">
      <formula>NOT(ISERROR(SEARCH("보수",AS16)))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변경(260104_260131)</vt:lpstr>
      <vt:lpstr>원번표(수정불가)</vt:lpstr>
      <vt:lpstr>비교(변경불가)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강남)응급의학과 의국</dc:creator>
  <cp:lastModifiedBy>강남)응급실</cp:lastModifiedBy>
  <dcterms:created xsi:type="dcterms:W3CDTF">2025-07-24T06:06:45Z</dcterms:created>
  <dcterms:modified xsi:type="dcterms:W3CDTF">2026-01-27T23:55:44Z</dcterms:modified>
</cp:coreProperties>
</file>