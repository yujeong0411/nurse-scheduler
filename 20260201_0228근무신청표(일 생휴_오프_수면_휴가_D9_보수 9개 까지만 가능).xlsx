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gnnas.yumc.net\응급진료센터-간호\원티드근무 신청폴더\"/>
    </mc:Choice>
  </mc:AlternateContent>
  <bookViews>
    <workbookView xWindow="-120" yWindow="-120" windowWidth="29040" windowHeight="15720"/>
  </bookViews>
  <sheets>
    <sheet name="Sheet1" sheetId="2" r:id="rId1"/>
  </sheets>
  <definedNames>
    <definedName name="_xlnm._FilterDatabase" localSheetId="0" hidden="1">Sheet1!$A$5:$AT$55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27" i="2" l="1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 l="1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 l="1"/>
  <c r="AF41" i="2"/>
  <c r="AF42" i="2"/>
  <c r="AF21" i="2"/>
  <c r="AF22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13" i="2" l="1"/>
  <c r="AF19" i="2"/>
  <c r="AF28" i="2"/>
  <c r="AF34" i="2"/>
  <c r="AF43" i="2"/>
  <c r="AF20" i="2"/>
  <c r="AF29" i="2"/>
  <c r="AF35" i="2"/>
  <c r="AF8" i="2"/>
  <c r="AF9" i="2"/>
  <c r="AF15" i="2"/>
  <c r="AF23" i="2"/>
  <c r="AF30" i="2"/>
  <c r="AF36" i="2"/>
  <c r="AF10" i="2"/>
  <c r="AF16" i="2"/>
  <c r="AF24" i="2"/>
  <c r="AF31" i="2"/>
  <c r="AF37" i="2"/>
  <c r="AF17" i="2"/>
  <c r="AF25" i="2"/>
  <c r="AF32" i="2"/>
  <c r="AF38" i="2"/>
  <c r="AF12" i="2"/>
  <c r="AF18" i="2"/>
  <c r="AF26" i="2"/>
  <c r="AF33" i="2"/>
  <c r="AF39" i="2"/>
  <c r="AF11" i="2"/>
  <c r="AF14" i="2"/>
  <c r="AF7" i="2"/>
  <c r="AF6" i="2"/>
  <c r="G54" i="2"/>
  <c r="G55" i="2" s="1"/>
  <c r="Z54" i="2"/>
  <c r="Z55" i="2" s="1"/>
  <c r="AA54" i="2"/>
  <c r="AA55" i="2" s="1"/>
  <c r="AD54" i="2"/>
  <c r="AD55" i="2" s="1"/>
  <c r="AE54" i="2"/>
  <c r="AE55" i="2" s="1"/>
  <c r="R54" i="2"/>
  <c r="R55" i="2" s="1"/>
  <c r="Q54" i="2"/>
  <c r="Q55" i="2" s="1"/>
  <c r="O54" i="2"/>
  <c r="O55" i="2" s="1"/>
  <c r="N54" i="2"/>
  <c r="N55" i="2" s="1"/>
  <c r="AC54" i="2"/>
  <c r="AC55" i="2" s="1"/>
  <c r="T54" i="2"/>
  <c r="T55" i="2" s="1"/>
  <c r="S54" i="2"/>
  <c r="S55" i="2" s="1"/>
  <c r="F54" i="2"/>
  <c r="F55" i="2" s="1"/>
  <c r="E54" i="2"/>
  <c r="E55" i="2" s="1"/>
  <c r="H54" i="2"/>
  <c r="H55" i="2" s="1"/>
  <c r="I54" i="2"/>
  <c r="I55" i="2" s="1"/>
  <c r="U54" i="2"/>
  <c r="U55" i="2" s="1"/>
  <c r="J54" i="2"/>
  <c r="J55" i="2" s="1"/>
  <c r="V54" i="2"/>
  <c r="V55" i="2" s="1"/>
  <c r="K54" i="2"/>
  <c r="K55" i="2" s="1"/>
  <c r="W54" i="2"/>
  <c r="W55" i="2" s="1"/>
  <c r="L54" i="2"/>
  <c r="L55" i="2" s="1"/>
  <c r="X54" i="2"/>
  <c r="X55" i="2" s="1"/>
  <c r="D54" i="2"/>
  <c r="D55" i="2" s="1"/>
  <c r="P54" i="2"/>
  <c r="P55" i="2" s="1"/>
  <c r="AB54" i="2"/>
  <c r="AB55" i="2" s="1"/>
  <c r="M54" i="2"/>
  <c r="M55" i="2" s="1"/>
  <c r="Y54" i="2"/>
  <c r="Y55" i="2" s="1"/>
  <c r="I1" i="2" l="1"/>
</calcChain>
</file>

<file path=xl/sharedStrings.xml><?xml version="1.0" encoding="utf-8"?>
<sst xmlns="http://schemas.openxmlformats.org/spreadsheetml/2006/main" count="468" uniqueCount="150">
  <si>
    <r>
      <t xml:space="preserve">일(OFF, 주, 수면, 생휴, VAC, 필수, 보수, 법)
</t>
    </r>
    <r>
      <rPr>
        <b/>
        <sz val="12"/>
        <color rgb="FFFF0000"/>
        <rFont val="맑은 고딕"/>
        <family val="3"/>
        <charset val="129"/>
        <scheme val="minor"/>
      </rPr>
      <t xml:space="preserve">9개 까지 가능. 10개 이상 시 날짜 표기됨. </t>
    </r>
    <phoneticPr fontId="3" type="noConversion"/>
  </si>
  <si>
    <t xml:space="preserve">                                                                                                             </t>
    <phoneticPr fontId="7" type="noConversion"/>
  </si>
  <si>
    <t>간호사 38(파트장포함)</t>
    <phoneticPr fontId="3" type="noConversion"/>
  </si>
  <si>
    <t>생휴</t>
    <phoneticPr fontId="3" type="noConversion"/>
  </si>
  <si>
    <t>수면</t>
    <phoneticPr fontId="3" type="noConversion"/>
  </si>
  <si>
    <t>일</t>
  </si>
  <si>
    <t>월</t>
    <phoneticPr fontId="7" type="noConversion"/>
  </si>
  <si>
    <t>화</t>
  </si>
  <si>
    <t>수</t>
  </si>
  <si>
    <t>목</t>
  </si>
  <si>
    <t>금</t>
    <phoneticPr fontId="3" type="noConversion"/>
  </si>
  <si>
    <t>토</t>
  </si>
  <si>
    <t>월</t>
  </si>
  <si>
    <t>화</t>
    <phoneticPr fontId="7" type="noConversion"/>
  </si>
  <si>
    <t>목</t>
    <phoneticPr fontId="3" type="noConversion"/>
  </si>
  <si>
    <t>금</t>
  </si>
  <si>
    <t>총 OFF</t>
    <phoneticPr fontId="3" type="noConversion"/>
  </si>
  <si>
    <t>주</t>
    <phoneticPr fontId="3" type="noConversion"/>
  </si>
  <si>
    <t>OFF</t>
    <phoneticPr fontId="3" type="noConversion"/>
  </si>
  <si>
    <t>법</t>
    <phoneticPr fontId="3" type="noConversion"/>
  </si>
  <si>
    <t>경가</t>
    <phoneticPr fontId="3" type="noConversion"/>
  </si>
  <si>
    <t>공</t>
    <phoneticPr fontId="3" type="noConversion"/>
  </si>
  <si>
    <t>vac</t>
    <phoneticPr fontId="3" type="noConversion"/>
  </si>
  <si>
    <t>생</t>
    <phoneticPr fontId="3" type="noConversion"/>
  </si>
  <si>
    <t>D9</t>
    <phoneticPr fontId="3" type="noConversion"/>
  </si>
  <si>
    <t>보수</t>
    <phoneticPr fontId="3" type="noConversion"/>
  </si>
  <si>
    <t>필수</t>
    <phoneticPr fontId="3" type="noConversion"/>
  </si>
  <si>
    <t>D</t>
    <phoneticPr fontId="3" type="noConversion"/>
  </si>
  <si>
    <t>E</t>
    <phoneticPr fontId="3" type="noConversion"/>
  </si>
  <si>
    <t>N</t>
    <phoneticPr fontId="3" type="noConversion"/>
  </si>
  <si>
    <t>이경희</t>
    <phoneticPr fontId="3" type="noConversion"/>
  </si>
  <si>
    <t>오선영</t>
    <phoneticPr fontId="3" type="noConversion"/>
  </si>
  <si>
    <t>법휴</t>
    <phoneticPr fontId="3" type="noConversion"/>
  </si>
  <si>
    <t>우영미</t>
    <phoneticPr fontId="3" type="noConversion"/>
  </si>
  <si>
    <t>off</t>
    <phoneticPr fontId="3" type="noConversion"/>
  </si>
  <si>
    <t>전상배</t>
    <phoneticPr fontId="3" type="noConversion"/>
  </si>
  <si>
    <t>안일심</t>
    <phoneticPr fontId="7" type="noConversion"/>
  </si>
  <si>
    <t>조은애</t>
    <phoneticPr fontId="3" type="noConversion"/>
  </si>
  <si>
    <t>우혜린</t>
    <phoneticPr fontId="3" type="noConversion"/>
  </si>
  <si>
    <t>유지연</t>
    <phoneticPr fontId="3" type="noConversion"/>
  </si>
  <si>
    <t>서희정</t>
    <phoneticPr fontId="3" type="noConversion"/>
  </si>
  <si>
    <t>공가</t>
    <phoneticPr fontId="3" type="noConversion"/>
  </si>
  <si>
    <t>김도연</t>
    <phoneticPr fontId="3" type="noConversion"/>
  </si>
  <si>
    <t>전선영</t>
    <phoneticPr fontId="3" type="noConversion"/>
  </si>
  <si>
    <t>이은지</t>
    <phoneticPr fontId="3" type="noConversion"/>
  </si>
  <si>
    <t>박동희</t>
    <phoneticPr fontId="3" type="noConversion"/>
  </si>
  <si>
    <t>김효선</t>
    <phoneticPr fontId="3" type="noConversion"/>
  </si>
  <si>
    <t>최민정</t>
    <phoneticPr fontId="3" type="noConversion"/>
  </si>
  <si>
    <t>차승현</t>
    <phoneticPr fontId="3" type="noConversion"/>
  </si>
  <si>
    <t>강라원</t>
    <phoneticPr fontId="3" type="noConversion"/>
  </si>
  <si>
    <t>허란</t>
    <phoneticPr fontId="3" type="noConversion"/>
  </si>
  <si>
    <t>이유진</t>
    <phoneticPr fontId="3" type="noConversion"/>
  </si>
  <si>
    <t>이창성</t>
    <phoneticPr fontId="3" type="noConversion"/>
  </si>
  <si>
    <t>백지선</t>
    <phoneticPr fontId="3" type="noConversion"/>
  </si>
  <si>
    <t>정진우</t>
    <phoneticPr fontId="3" type="noConversion"/>
  </si>
  <si>
    <t>김민아</t>
    <phoneticPr fontId="3" type="noConversion"/>
  </si>
  <si>
    <t>장미선</t>
    <phoneticPr fontId="3" type="noConversion"/>
  </si>
  <si>
    <t>최다희</t>
    <phoneticPr fontId="3" type="noConversion"/>
  </si>
  <si>
    <t>2026.02.01-26.02.28</t>
    <phoneticPr fontId="3" type="noConversion"/>
  </si>
  <si>
    <t>1일</t>
    <phoneticPr fontId="3" type="noConversion"/>
  </si>
  <si>
    <t>2일</t>
    <phoneticPr fontId="3" type="noConversion"/>
  </si>
  <si>
    <t>3일</t>
    <phoneticPr fontId="3" type="noConversion"/>
  </si>
  <si>
    <t>4일</t>
    <phoneticPr fontId="3" type="noConversion"/>
  </si>
  <si>
    <t>5일</t>
    <phoneticPr fontId="3" type="noConversion"/>
  </si>
  <si>
    <t>6일</t>
    <phoneticPr fontId="3" type="noConversion"/>
  </si>
  <si>
    <t>7일</t>
    <phoneticPr fontId="3" type="noConversion"/>
  </si>
  <si>
    <t>8일</t>
    <phoneticPr fontId="3" type="noConversion"/>
  </si>
  <si>
    <t>9일</t>
    <phoneticPr fontId="3" type="noConversion"/>
  </si>
  <si>
    <t>10일</t>
    <phoneticPr fontId="3" type="noConversion"/>
  </si>
  <si>
    <t>11일</t>
    <phoneticPr fontId="3" type="noConversion"/>
  </si>
  <si>
    <t>12일</t>
    <phoneticPr fontId="3" type="noConversion"/>
  </si>
  <si>
    <t>13일</t>
    <phoneticPr fontId="3" type="noConversion"/>
  </si>
  <si>
    <t>14일</t>
    <phoneticPr fontId="3" type="noConversion"/>
  </si>
  <si>
    <t>15일</t>
    <phoneticPr fontId="3" type="noConversion"/>
  </si>
  <si>
    <t>16일</t>
    <phoneticPr fontId="3" type="noConversion"/>
  </si>
  <si>
    <t>17일</t>
    <phoneticPr fontId="3" type="noConversion"/>
  </si>
  <si>
    <t>18일</t>
    <phoneticPr fontId="3" type="noConversion"/>
  </si>
  <si>
    <t>19일</t>
    <phoneticPr fontId="3" type="noConversion"/>
  </si>
  <si>
    <t>20일</t>
    <phoneticPr fontId="3" type="noConversion"/>
  </si>
  <si>
    <t>21일</t>
    <phoneticPr fontId="3" type="noConversion"/>
  </si>
  <si>
    <t>22일</t>
    <phoneticPr fontId="3" type="noConversion"/>
  </si>
  <si>
    <t>23일</t>
    <phoneticPr fontId="3" type="noConversion"/>
  </si>
  <si>
    <t>24일</t>
    <phoneticPr fontId="3" type="noConversion"/>
  </si>
  <si>
    <t>25일</t>
    <phoneticPr fontId="3" type="noConversion"/>
  </si>
  <si>
    <t>26일</t>
    <phoneticPr fontId="3" type="noConversion"/>
  </si>
  <si>
    <t>27일</t>
    <phoneticPr fontId="3" type="noConversion"/>
  </si>
  <si>
    <t>28일</t>
    <phoneticPr fontId="3" type="noConversion"/>
  </si>
  <si>
    <t>우경희</t>
    <phoneticPr fontId="3" type="noConversion"/>
  </si>
  <si>
    <t>한소연</t>
    <phoneticPr fontId="3" type="noConversion"/>
  </si>
  <si>
    <t>설희원</t>
    <phoneticPr fontId="7" type="noConversion"/>
  </si>
  <si>
    <t>황지현</t>
    <phoneticPr fontId="3" type="noConversion"/>
  </si>
  <si>
    <t>김윤정</t>
    <phoneticPr fontId="3" type="noConversion"/>
  </si>
  <si>
    <t>신성민</t>
    <phoneticPr fontId="3" type="noConversion"/>
  </si>
  <si>
    <t>박준영</t>
    <phoneticPr fontId="3" type="noConversion"/>
  </si>
  <si>
    <t>홍시호</t>
    <phoneticPr fontId="3" type="noConversion"/>
  </si>
  <si>
    <t>손수연</t>
    <phoneticPr fontId="3" type="noConversion"/>
  </si>
  <si>
    <t>김소원</t>
    <phoneticPr fontId="3" type="noConversion"/>
  </si>
  <si>
    <t>김은지</t>
    <phoneticPr fontId="3" type="noConversion"/>
  </si>
  <si>
    <t>심승현</t>
    <phoneticPr fontId="3" type="noConversion"/>
  </si>
  <si>
    <t>주</t>
  </si>
  <si>
    <t>설날</t>
    <phoneticPr fontId="3" type="noConversion"/>
  </si>
  <si>
    <t>D</t>
    <phoneticPr fontId="3" type="noConversion"/>
  </si>
  <si>
    <t>법휴</t>
    <phoneticPr fontId="3" type="noConversion"/>
  </si>
  <si>
    <t>D</t>
  </si>
  <si>
    <t>법</t>
  </si>
  <si>
    <t>OFF</t>
  </si>
  <si>
    <t>생휴</t>
  </si>
  <si>
    <t>OFF</t>
    <phoneticPr fontId="3" type="noConversion"/>
  </si>
  <si>
    <t>D</t>
    <phoneticPr fontId="3" type="noConversion"/>
  </si>
  <si>
    <t>생휴</t>
    <phoneticPr fontId="3" type="noConversion"/>
  </si>
  <si>
    <t>법휴</t>
    <phoneticPr fontId="3" type="noConversion"/>
  </si>
  <si>
    <t>번표</t>
    <phoneticPr fontId="3" type="noConversion"/>
  </si>
  <si>
    <t>수면</t>
  </si>
  <si>
    <t>off</t>
  </si>
  <si>
    <t>N</t>
  </si>
  <si>
    <t>off</t>
    <phoneticPr fontId="3" type="noConversion"/>
  </si>
  <si>
    <t>생휴</t>
    <phoneticPr fontId="3" type="noConversion"/>
  </si>
  <si>
    <t>VAC</t>
  </si>
  <si>
    <t>off</t>
    <phoneticPr fontId="3" type="noConversion"/>
  </si>
  <si>
    <t>E</t>
    <phoneticPr fontId="3" type="noConversion"/>
  </si>
  <si>
    <t>수면1</t>
  </si>
  <si>
    <t>법휴</t>
  </si>
  <si>
    <t>1월 수면</t>
    <phoneticPr fontId="3" type="noConversion"/>
  </si>
  <si>
    <t>송은지</t>
    <phoneticPr fontId="3" type="noConversion"/>
  </si>
  <si>
    <t>off</t>
    <phoneticPr fontId="3" type="noConversion"/>
  </si>
  <si>
    <t>수면 1</t>
  </si>
  <si>
    <t>D</t>
    <phoneticPr fontId="3" type="noConversion"/>
  </si>
  <si>
    <t>N제외</t>
  </si>
  <si>
    <t>vac</t>
  </si>
  <si>
    <t>N 제외</t>
  </si>
  <si>
    <t>D 제외</t>
  </si>
  <si>
    <t>1월 수면</t>
    <phoneticPr fontId="3" type="noConversion"/>
  </si>
  <si>
    <t>D제외</t>
  </si>
  <si>
    <t>보수</t>
  </si>
  <si>
    <t>수면(1월)</t>
  </si>
  <si>
    <t>OFF</t>
    <phoneticPr fontId="3" type="noConversion"/>
  </si>
  <si>
    <t>OFF</t>
    <phoneticPr fontId="3" type="noConversion"/>
  </si>
  <si>
    <t>N</t>
    <phoneticPr fontId="3" type="noConversion"/>
  </si>
  <si>
    <t>E</t>
    <phoneticPr fontId="3" type="noConversion"/>
  </si>
  <si>
    <t>N</t>
    <phoneticPr fontId="3" type="noConversion"/>
  </si>
  <si>
    <t xml:space="preserve"> </t>
    <phoneticPr fontId="3" type="noConversion"/>
  </si>
  <si>
    <t>1월 수면</t>
  </si>
  <si>
    <t>D</t>
    <phoneticPr fontId="3" type="noConversion"/>
  </si>
  <si>
    <t>D/OFF</t>
  </si>
  <si>
    <t>1월수면</t>
  </si>
  <si>
    <t>N</t>
    <phoneticPr fontId="3" type="noConversion"/>
  </si>
  <si>
    <t>E</t>
    <phoneticPr fontId="3" type="noConversion"/>
  </si>
  <si>
    <t>E</t>
  </si>
  <si>
    <t>DorOFF</t>
  </si>
  <si>
    <t>번표 신청 마감했습니다. 표시하지 마세요 !!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</si>
</sst>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5"/>
      <color rgb="FFFF0000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b/>
      <sz val="12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4"/>
      <color rgb="FF000000"/>
      <name val="새굴림"/>
      <family val="1"/>
      <charset val="129"/>
    </font>
    <font>
      <b/>
      <sz val="14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0"/>
      <color rgb="FF000000"/>
      <name val="새굴림"/>
      <family val="1"/>
      <charset val="129"/>
    </font>
    <font>
      <sz val="6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6"/>
      <color rgb="FFFF0000"/>
      <name val="맑은 고딕"/>
      <family val="3"/>
      <charset val="129"/>
    </font>
    <font>
      <sz val="6"/>
      <color theme="1"/>
      <name val="맑은 고딕"/>
      <family val="3"/>
      <charset val="129"/>
    </font>
    <font>
      <b/>
      <sz val="6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2"/>
      <color rgb="FFFF0000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sz val="10"/>
      <color rgb="FFFF0000"/>
      <name val="새굴림"/>
      <family val="1"/>
      <charset val="129"/>
    </font>
    <font>
      <b/>
      <sz val="10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0"/>
      <name val="새굴림"/>
      <family val="1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1"/>
      <color rgb="FF000000"/>
      <name val="새굴림"/>
      <family val="1"/>
      <charset val="129"/>
    </font>
    <font>
      <sz val="10"/>
      <color rgb="FF000000"/>
      <name val="나눔고딕"/>
      <family val="3"/>
      <charset val="129"/>
    </font>
    <font>
      <sz val="10"/>
      <color theme="1"/>
      <name val="맑은 고딕"/>
      <family val="3"/>
      <charset val="129"/>
    </font>
    <font>
      <sz val="6"/>
      <color rgb="FF000000"/>
      <name val="새굴림"/>
      <family val="1"/>
      <charset val="129"/>
    </font>
    <font>
      <sz val="9"/>
      <color rgb="FF00000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 diagonalDown="1"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</cellStyleXfs>
  <cellXfs count="175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0" fillId="0" borderId="0" xfId="2" applyBorder="1">
      <alignment vertical="center"/>
    </xf>
    <xf numFmtId="0" fontId="11" fillId="0" borderId="0" xfId="2" applyFont="1" applyBorder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4" fillId="3" borderId="5" xfId="1" applyFont="1" applyFill="1" applyBorder="1" applyAlignment="1">
      <alignment horizontal="center" vertical="center"/>
    </xf>
    <xf numFmtId="0" fontId="15" fillId="3" borderId="5" xfId="1" applyFont="1" applyFill="1" applyBorder="1" applyAlignment="1">
      <alignment horizontal="center" vertical="center" wrapText="1"/>
    </xf>
    <xf numFmtId="0" fontId="16" fillId="3" borderId="5" xfId="1" applyFont="1" applyFill="1" applyBorder="1" applyAlignment="1">
      <alignment horizontal="center" vertical="center"/>
    </xf>
    <xf numFmtId="0" fontId="17" fillId="3" borderId="6" xfId="1" applyFont="1" applyFill="1" applyBorder="1" applyAlignment="1">
      <alignment horizontal="center" vertical="center"/>
    </xf>
    <xf numFmtId="0" fontId="18" fillId="3" borderId="4" xfId="1" applyFont="1" applyFill="1" applyBorder="1" applyAlignment="1">
      <alignment horizontal="center" vertical="center"/>
    </xf>
    <xf numFmtId="0" fontId="15" fillId="3" borderId="5" xfId="1" applyFont="1" applyFill="1" applyBorder="1" applyAlignment="1">
      <alignment horizontal="center" vertical="center"/>
    </xf>
    <xf numFmtId="0" fontId="19" fillId="3" borderId="5" xfId="1" applyFont="1" applyFill="1" applyBorder="1" applyAlignment="1">
      <alignment horizontal="center" vertical="center"/>
    </xf>
    <xf numFmtId="0" fontId="20" fillId="3" borderId="5" xfId="1" applyFont="1" applyFill="1" applyBorder="1" applyAlignment="1">
      <alignment horizontal="center" vertical="center"/>
    </xf>
    <xf numFmtId="0" fontId="15" fillId="3" borderId="6" xfId="1" applyFont="1" applyFill="1" applyBorder="1" applyAlignment="1">
      <alignment horizontal="center" vertical="center"/>
    </xf>
    <xf numFmtId="0" fontId="21" fillId="3" borderId="6" xfId="1" applyFont="1" applyFill="1" applyBorder="1" applyAlignment="1">
      <alignment horizontal="center" vertical="center"/>
    </xf>
    <xf numFmtId="0" fontId="22" fillId="4" borderId="5" xfId="1" applyFont="1" applyFill="1" applyBorder="1" applyAlignment="1">
      <alignment horizontal="center" vertical="center"/>
    </xf>
    <xf numFmtId="0" fontId="23" fillId="3" borderId="5" xfId="2" applyFont="1" applyFill="1" applyBorder="1">
      <alignment vertical="center"/>
    </xf>
    <xf numFmtId="0" fontId="18" fillId="2" borderId="6" xfId="1" applyFont="1" applyFill="1" applyBorder="1" applyAlignment="1">
      <alignment horizontal="center" vertical="center"/>
    </xf>
    <xf numFmtId="0" fontId="24" fillId="0" borderId="8" xfId="1" applyFont="1" applyBorder="1" applyAlignment="1">
      <alignment horizontal="center" vertical="center"/>
    </xf>
    <xf numFmtId="0" fontId="24" fillId="0" borderId="9" xfId="1" applyFont="1" applyBorder="1" applyAlignment="1">
      <alignment horizontal="center" vertical="center"/>
    </xf>
    <xf numFmtId="0" fontId="24" fillId="0" borderId="10" xfId="1" applyFont="1" applyBorder="1" applyAlignment="1">
      <alignment horizontal="center" vertical="center"/>
    </xf>
    <xf numFmtId="0" fontId="22" fillId="4" borderId="11" xfId="1" applyFont="1" applyFill="1" applyBorder="1" applyAlignment="1">
      <alignment horizontal="center" vertical="center"/>
    </xf>
    <xf numFmtId="0" fontId="25" fillId="4" borderId="12" xfId="1" applyFont="1" applyFill="1" applyBorder="1" applyAlignment="1">
      <alignment horizontal="center" vertical="center"/>
    </xf>
    <xf numFmtId="0" fontId="25" fillId="4" borderId="13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0" fontId="24" fillId="0" borderId="17" xfId="1" applyFont="1" applyBorder="1" applyAlignment="1">
      <alignment horizontal="center" vertical="center"/>
    </xf>
    <xf numFmtId="0" fontId="22" fillId="5" borderId="18" xfId="1" applyFont="1" applyFill="1" applyBorder="1" applyAlignment="1">
      <alignment horizontal="center" vertical="center"/>
    </xf>
    <xf numFmtId="0" fontId="25" fillId="5" borderId="19" xfId="1" applyFont="1" applyFill="1" applyBorder="1" applyAlignment="1">
      <alignment horizontal="center" vertical="center"/>
    </xf>
    <xf numFmtId="0" fontId="25" fillId="5" borderId="20" xfId="1" applyFont="1" applyFill="1" applyBorder="1" applyAlignment="1">
      <alignment horizontal="center" vertical="center"/>
    </xf>
    <xf numFmtId="0" fontId="22" fillId="2" borderId="18" xfId="1" applyFont="1" applyFill="1" applyBorder="1" applyAlignment="1">
      <alignment horizontal="center" vertical="center"/>
    </xf>
    <xf numFmtId="0" fontId="25" fillId="6" borderId="19" xfId="1" applyFont="1" applyFill="1" applyBorder="1" applyAlignment="1">
      <alignment horizontal="center" vertical="center"/>
    </xf>
    <xf numFmtId="0" fontId="25" fillId="3" borderId="20" xfId="1" applyFont="1" applyFill="1" applyBorder="1" applyAlignment="1">
      <alignment horizontal="center" vertical="center"/>
    </xf>
    <xf numFmtId="0" fontId="25" fillId="2" borderId="19" xfId="1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6" fillId="5" borderId="25" xfId="1" applyFont="1" applyFill="1" applyBorder="1" applyAlignment="1">
      <alignment horizontal="center" vertical="center"/>
    </xf>
    <xf numFmtId="0" fontId="26" fillId="5" borderId="9" xfId="1" applyFont="1" applyFill="1" applyBorder="1" applyAlignment="1">
      <alignment horizontal="center" vertical="center" shrinkToFit="1"/>
    </xf>
    <xf numFmtId="0" fontId="26" fillId="5" borderId="10" xfId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6" fillId="5" borderId="26" xfId="1" applyFont="1" applyFill="1" applyBorder="1" applyAlignment="1">
      <alignment horizontal="center" vertical="center"/>
    </xf>
    <xf numFmtId="0" fontId="26" fillId="5" borderId="27" xfId="1" applyFont="1" applyFill="1" applyBorder="1" applyAlignment="1">
      <alignment horizontal="center" vertical="center" shrinkToFit="1"/>
    </xf>
    <xf numFmtId="0" fontId="26" fillId="5" borderId="8" xfId="1" applyFont="1" applyFill="1" applyBorder="1" applyAlignment="1">
      <alignment horizontal="center" vertical="center" shrinkToFit="1"/>
    </xf>
    <xf numFmtId="0" fontId="27" fillId="3" borderId="11" xfId="1" applyFont="1" applyFill="1" applyBorder="1" applyAlignment="1">
      <alignment horizontal="center" vertical="center" shrinkToFit="1"/>
    </xf>
    <xf numFmtId="0" fontId="27" fillId="3" borderId="12" xfId="1" applyFont="1" applyFill="1" applyBorder="1" applyAlignment="1">
      <alignment horizontal="center" vertical="center" shrinkToFit="1"/>
    </xf>
    <xf numFmtId="0" fontId="28" fillId="3" borderId="12" xfId="1" applyFont="1" applyFill="1" applyBorder="1" applyAlignment="1">
      <alignment horizontal="center" vertical="center" shrinkToFit="1"/>
    </xf>
    <xf numFmtId="0" fontId="27" fillId="3" borderId="13" xfId="1" applyFont="1" applyFill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6" fillId="2" borderId="27" xfId="1" applyFont="1" applyFill="1" applyBorder="1" applyAlignment="1">
      <alignment horizontal="center" vertical="center" shrinkToFit="1"/>
    </xf>
    <xf numFmtId="0" fontId="26" fillId="2" borderId="26" xfId="1" applyFont="1" applyFill="1" applyBorder="1" applyAlignment="1">
      <alignment horizontal="center" vertical="center"/>
    </xf>
    <xf numFmtId="0" fontId="26" fillId="2" borderId="8" xfId="1" applyFont="1" applyFill="1" applyBorder="1" applyAlignment="1">
      <alignment horizontal="center" vertical="center" shrinkToFit="1"/>
    </xf>
    <xf numFmtId="0" fontId="26" fillId="5" borderId="28" xfId="1" applyFont="1" applyFill="1" applyBorder="1" applyAlignment="1">
      <alignment horizontal="center" vertical="center"/>
    </xf>
    <xf numFmtId="0" fontId="26" fillId="5" borderId="29" xfId="1" applyFont="1" applyFill="1" applyBorder="1" applyAlignment="1">
      <alignment horizontal="center" vertical="center" shrinkToFit="1"/>
    </xf>
    <xf numFmtId="0" fontId="26" fillId="5" borderId="30" xfId="1" applyFont="1" applyFill="1" applyBorder="1" applyAlignment="1">
      <alignment horizontal="center" vertical="center" shrinkToFit="1"/>
    </xf>
    <xf numFmtId="0" fontId="26" fillId="0" borderId="28" xfId="1" applyFont="1" applyBorder="1" applyAlignment="1">
      <alignment horizontal="center" vertical="center"/>
    </xf>
    <xf numFmtId="0" fontId="26" fillId="0" borderId="29" xfId="1" applyFont="1" applyBorder="1" applyAlignment="1">
      <alignment horizontal="center" vertical="center" shrinkToFit="1"/>
    </xf>
    <xf numFmtId="0" fontId="26" fillId="0" borderId="17" xfId="1" applyFont="1" applyBorder="1" applyAlignment="1">
      <alignment horizontal="center" vertical="center" shrinkToFit="1"/>
    </xf>
    <xf numFmtId="0" fontId="27" fillId="3" borderId="18" xfId="1" applyFont="1" applyFill="1" applyBorder="1" applyAlignment="1">
      <alignment horizontal="center" vertical="center" shrinkToFit="1"/>
    </xf>
    <xf numFmtId="0" fontId="27" fillId="3" borderId="19" xfId="1" applyFont="1" applyFill="1" applyBorder="1" applyAlignment="1">
      <alignment horizontal="center" vertical="center" shrinkToFit="1"/>
    </xf>
    <xf numFmtId="0" fontId="27" fillId="3" borderId="31" xfId="1" applyFont="1" applyFill="1" applyBorder="1" applyAlignment="1">
      <alignment horizontal="center" vertical="center" shrinkToFit="1"/>
    </xf>
    <xf numFmtId="0" fontId="27" fillId="3" borderId="33" xfId="1" applyFont="1" applyFill="1" applyBorder="1" applyAlignment="1">
      <alignment horizontal="center" vertical="center" shrinkToFit="1"/>
    </xf>
    <xf numFmtId="0" fontId="27" fillId="3" borderId="32" xfId="1" applyFont="1" applyFill="1" applyBorder="1" applyAlignment="1">
      <alignment horizontal="center" vertical="center" shrinkToFit="1"/>
    </xf>
    <xf numFmtId="0" fontId="0" fillId="0" borderId="3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6" fillId="0" borderId="25" xfId="1" applyFont="1" applyBorder="1" applyAlignment="1">
      <alignment horizontal="center" vertical="center"/>
    </xf>
    <xf numFmtId="0" fontId="26" fillId="0" borderId="9" xfId="1" applyFont="1" applyBorder="1" applyAlignment="1">
      <alignment horizontal="center" vertical="center" shrinkToFit="1"/>
    </xf>
    <xf numFmtId="0" fontId="27" fillId="3" borderId="5" xfId="1" applyFont="1" applyFill="1" applyBorder="1" applyAlignment="1">
      <alignment horizontal="center" vertical="center" shrinkToFit="1"/>
    </xf>
    <xf numFmtId="0" fontId="27" fillId="3" borderId="4" xfId="1" applyFont="1" applyFill="1" applyBorder="1" applyAlignment="1">
      <alignment horizontal="center" vertical="center" shrinkToFit="1"/>
    </xf>
    <xf numFmtId="0" fontId="27" fillId="3" borderId="6" xfId="1" applyFont="1" applyFill="1" applyBorder="1" applyAlignment="1">
      <alignment horizontal="center" vertical="center" shrinkToFit="1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6" fillId="0" borderId="8" xfId="1" applyFont="1" applyFill="1" applyBorder="1" applyAlignment="1">
      <alignment horizontal="center" vertical="center"/>
    </xf>
    <xf numFmtId="0" fontId="26" fillId="0" borderId="27" xfId="1" applyFont="1" applyFill="1" applyBorder="1" applyAlignment="1">
      <alignment horizontal="center" vertical="center" shrinkToFit="1"/>
    </xf>
    <xf numFmtId="0" fontId="0" fillId="0" borderId="2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6" fillId="0" borderId="26" xfId="1" applyFont="1" applyFill="1" applyBorder="1" applyAlignment="1">
      <alignment horizontal="center" vertical="center"/>
    </xf>
    <xf numFmtId="0" fontId="26" fillId="3" borderId="8" xfId="1" applyFont="1" applyFill="1" applyBorder="1" applyAlignment="1">
      <alignment horizontal="center" vertical="center"/>
    </xf>
    <xf numFmtId="0" fontId="26" fillId="3" borderId="27" xfId="1" applyFont="1" applyFill="1" applyBorder="1" applyAlignment="1">
      <alignment horizontal="center" vertical="center" shrinkToFit="1"/>
    </xf>
    <xf numFmtId="0" fontId="26" fillId="3" borderId="26" xfId="1" applyFont="1" applyFill="1" applyBorder="1" applyAlignment="1">
      <alignment horizontal="center" vertical="center"/>
    </xf>
    <xf numFmtId="0" fontId="26" fillId="3" borderId="36" xfId="1" applyFont="1" applyFill="1" applyBorder="1" applyAlignment="1">
      <alignment horizontal="center" vertical="center"/>
    </xf>
    <xf numFmtId="0" fontId="26" fillId="3" borderId="16" xfId="1" applyFont="1" applyFill="1" applyBorder="1" applyAlignment="1">
      <alignment horizontal="center" vertical="center" shrinkToFit="1"/>
    </xf>
    <xf numFmtId="0" fontId="27" fillId="3" borderId="20" xfId="1" applyFont="1" applyFill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7" fillId="3" borderId="27" xfId="1" applyFont="1" applyFill="1" applyBorder="1" applyAlignment="1">
      <alignment horizontal="center" vertical="center" shrinkToFit="1"/>
    </xf>
    <xf numFmtId="0" fontId="30" fillId="0" borderId="0" xfId="1" applyFont="1" applyAlignment="1">
      <alignment horizontal="center"/>
    </xf>
    <xf numFmtId="0" fontId="26" fillId="0" borderId="0" xfId="1" applyFont="1" applyBorder="1" applyAlignment="1">
      <alignment horizontal="center" vertical="center"/>
    </xf>
    <xf numFmtId="0" fontId="31" fillId="3" borderId="0" xfId="1" applyFont="1" applyFill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0" fontId="26" fillId="3" borderId="0" xfId="1" applyFont="1" applyFill="1" applyBorder="1" applyAlignment="1">
      <alignment horizontal="center" vertical="center"/>
    </xf>
    <xf numFmtId="0" fontId="26" fillId="0" borderId="38" xfId="1" applyFont="1" applyBorder="1" applyAlignment="1">
      <alignment horizontal="center" vertical="center" shrinkToFit="1"/>
    </xf>
    <xf numFmtId="0" fontId="26" fillId="0" borderId="8" xfId="1" applyFont="1" applyFill="1" applyBorder="1" applyAlignment="1">
      <alignment horizontal="center" vertical="center" shrinkToFit="1"/>
    </xf>
    <xf numFmtId="0" fontId="26" fillId="3" borderId="8" xfId="1" applyFont="1" applyFill="1" applyBorder="1" applyAlignment="1">
      <alignment horizontal="center" vertical="center" shrinkToFit="1"/>
    </xf>
    <xf numFmtId="0" fontId="29" fillId="3" borderId="17" xfId="1" applyFont="1" applyFill="1" applyBorder="1" applyAlignment="1">
      <alignment horizontal="center" vertical="center" shrinkToFit="1"/>
    </xf>
    <xf numFmtId="0" fontId="27" fillId="3" borderId="8" xfId="1" applyFont="1" applyFill="1" applyBorder="1" applyAlignment="1">
      <alignment horizontal="center" vertical="center" shrinkToFit="1"/>
    </xf>
    <xf numFmtId="0" fontId="29" fillId="3" borderId="8" xfId="1" applyFont="1" applyFill="1" applyBorder="1" applyAlignment="1">
      <alignment horizontal="center" vertical="center" shrinkToFit="1"/>
    </xf>
    <xf numFmtId="0" fontId="26" fillId="3" borderId="17" xfId="1" applyFont="1" applyFill="1" applyBorder="1" applyAlignment="1">
      <alignment horizontal="center" vertical="center" shrinkToFit="1"/>
    </xf>
    <xf numFmtId="0" fontId="16" fillId="3" borderId="4" xfId="1" applyFont="1" applyFill="1" applyBorder="1" applyAlignment="1">
      <alignment horizontal="center" vertical="center"/>
    </xf>
    <xf numFmtId="0" fontId="22" fillId="6" borderId="18" xfId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9" fillId="0" borderId="8" xfId="1" applyFont="1" applyFill="1" applyBorder="1" applyAlignment="1">
      <alignment horizontal="center" vertical="center" shrinkToFit="1"/>
    </xf>
    <xf numFmtId="0" fontId="33" fillId="4" borderId="5" xfId="1" applyFont="1" applyFill="1" applyBorder="1" applyAlignment="1">
      <alignment horizontal="center" vertical="center"/>
    </xf>
    <xf numFmtId="0" fontId="32" fillId="3" borderId="12" xfId="1" applyFont="1" applyFill="1" applyBorder="1" applyAlignment="1">
      <alignment horizontal="center" vertical="center" shrinkToFit="1"/>
    </xf>
    <xf numFmtId="0" fontId="27" fillId="3" borderId="35" xfId="1" applyFont="1" applyFill="1" applyBorder="1" applyAlignment="1">
      <alignment horizontal="center" vertical="center" shrinkToFit="1"/>
    </xf>
    <xf numFmtId="0" fontId="26" fillId="3" borderId="29" xfId="1" applyFont="1" applyFill="1" applyBorder="1" applyAlignment="1">
      <alignment horizontal="center" vertical="center" shrinkToFit="1"/>
    </xf>
    <xf numFmtId="0" fontId="26" fillId="3" borderId="30" xfId="1" applyFont="1" applyFill="1" applyBorder="1" applyAlignment="1">
      <alignment horizontal="center" vertical="center" shrinkToFit="1"/>
    </xf>
    <xf numFmtId="0" fontId="26" fillId="3" borderId="13" xfId="1" applyFont="1" applyFill="1" applyBorder="1" applyAlignment="1">
      <alignment horizontal="center" vertical="center"/>
    </xf>
    <xf numFmtId="0" fontId="26" fillId="3" borderId="20" xfId="1" applyFont="1" applyFill="1" applyBorder="1" applyAlignment="1">
      <alignment horizontal="center" vertical="center"/>
    </xf>
    <xf numFmtId="0" fontId="27" fillId="0" borderId="12" xfId="1" applyFont="1" applyFill="1" applyBorder="1" applyAlignment="1">
      <alignment horizontal="center" vertical="center" shrinkToFit="1"/>
    </xf>
    <xf numFmtId="0" fontId="27" fillId="3" borderId="41" xfId="1" applyFont="1" applyFill="1" applyBorder="1" applyAlignment="1">
      <alignment horizontal="center" vertical="center" shrinkToFit="1"/>
    </xf>
    <xf numFmtId="0" fontId="27" fillId="3" borderId="42" xfId="1" applyFont="1" applyFill="1" applyBorder="1" applyAlignment="1">
      <alignment horizontal="center" vertical="center" shrinkToFit="1"/>
    </xf>
    <xf numFmtId="0" fontId="28" fillId="3" borderId="42" xfId="1" applyFont="1" applyFill="1" applyBorder="1" applyAlignment="1">
      <alignment horizontal="center" vertical="center" shrinkToFit="1"/>
    </xf>
    <xf numFmtId="0" fontId="27" fillId="3" borderId="43" xfId="1" applyFont="1" applyFill="1" applyBorder="1" applyAlignment="1">
      <alignment horizontal="center" vertical="center" shrinkToFit="1"/>
    </xf>
    <xf numFmtId="0" fontId="27" fillId="3" borderId="34" xfId="1" applyFont="1" applyFill="1" applyBorder="1" applyAlignment="1">
      <alignment horizontal="center" vertical="center" shrinkToFit="1"/>
    </xf>
    <xf numFmtId="0" fontId="27" fillId="3" borderId="40" xfId="1" applyFont="1" applyFill="1" applyBorder="1" applyAlignment="1">
      <alignment horizontal="center" vertical="center" shrinkToFit="1"/>
    </xf>
    <xf numFmtId="0" fontId="27" fillId="3" borderId="37" xfId="1" applyFont="1" applyFill="1" applyBorder="1" applyAlignment="1">
      <alignment horizontal="center" vertical="center" shrinkToFit="1"/>
    </xf>
    <xf numFmtId="0" fontId="27" fillId="3" borderId="44" xfId="1" applyFont="1" applyFill="1" applyBorder="1" applyAlignment="1">
      <alignment horizontal="center" vertical="center" shrinkToFit="1"/>
    </xf>
    <xf numFmtId="0" fontId="0" fillId="0" borderId="4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2" fillId="4" borderId="12" xfId="1" applyFont="1" applyFill="1" applyBorder="1" applyAlignment="1">
      <alignment horizontal="center" vertical="center"/>
    </xf>
    <xf numFmtId="0" fontId="22" fillId="5" borderId="19" xfId="1" applyFont="1" applyFill="1" applyBorder="1" applyAlignment="1">
      <alignment horizontal="center" vertical="center"/>
    </xf>
    <xf numFmtId="0" fontId="22" fillId="6" borderId="19" xfId="1" applyFont="1" applyFill="1" applyBorder="1" applyAlignment="1">
      <alignment horizontal="center" vertical="center"/>
    </xf>
    <xf numFmtId="0" fontId="27" fillId="7" borderId="12" xfId="1" applyFont="1" applyFill="1" applyBorder="1" applyAlignment="1">
      <alignment horizontal="center" vertical="center" shrinkToFit="1"/>
    </xf>
    <xf numFmtId="0" fontId="27" fillId="7" borderId="11" xfId="1" applyFont="1" applyFill="1" applyBorder="1" applyAlignment="1">
      <alignment horizontal="center" vertical="center" shrinkToFit="1"/>
    </xf>
    <xf numFmtId="0" fontId="27" fillId="7" borderId="6" xfId="1" applyFont="1" applyFill="1" applyBorder="1" applyAlignment="1">
      <alignment horizontal="center" vertical="center" shrinkToFit="1"/>
    </xf>
    <xf numFmtId="0" fontId="27" fillId="7" borderId="5" xfId="1" applyFont="1" applyFill="1" applyBorder="1" applyAlignment="1">
      <alignment horizontal="center" vertical="center" shrinkToFit="1"/>
    </xf>
    <xf numFmtId="0" fontId="27" fillId="7" borderId="34" xfId="1" applyFont="1" applyFill="1" applyBorder="1" applyAlignment="1">
      <alignment horizontal="center" vertical="center" shrinkToFit="1"/>
    </xf>
    <xf numFmtId="0" fontId="27" fillId="7" borderId="35" xfId="1" applyFont="1" applyFill="1" applyBorder="1" applyAlignment="1">
      <alignment horizontal="center" vertical="center" shrinkToFit="1"/>
    </xf>
    <xf numFmtId="0" fontId="27" fillId="7" borderId="32" xfId="1" applyFont="1" applyFill="1" applyBorder="1" applyAlignment="1">
      <alignment horizontal="center" vertical="center" shrinkToFit="1"/>
    </xf>
    <xf numFmtId="0" fontId="27" fillId="7" borderId="33" xfId="1" applyFont="1" applyFill="1" applyBorder="1" applyAlignment="1">
      <alignment horizontal="center" vertical="center" shrinkToFit="1"/>
    </xf>
    <xf numFmtId="0" fontId="27" fillId="7" borderId="31" xfId="1" applyFont="1" applyFill="1" applyBorder="1" applyAlignment="1">
      <alignment horizontal="center" vertical="center" shrinkToFit="1"/>
    </xf>
    <xf numFmtId="0" fontId="27" fillId="7" borderId="13" xfId="1" applyFont="1" applyFill="1" applyBorder="1" applyAlignment="1">
      <alignment horizontal="center" vertical="center" shrinkToFit="1"/>
    </xf>
    <xf numFmtId="0" fontId="0" fillId="0" borderId="47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32" fillId="7" borderId="12" xfId="1" applyFont="1" applyFill="1" applyBorder="1" applyAlignment="1">
      <alignment horizontal="center" vertical="center" shrinkToFit="1"/>
    </xf>
    <xf numFmtId="0" fontId="34" fillId="3" borderId="8" xfId="1" applyFont="1" applyFill="1" applyBorder="1" applyAlignment="1">
      <alignment horizontal="center" vertical="center" shrinkToFit="1"/>
    </xf>
    <xf numFmtId="0" fontId="27" fillId="0" borderId="11" xfId="1" applyFont="1" applyFill="1" applyBorder="1" applyAlignment="1">
      <alignment horizontal="center" vertical="center" shrinkToFit="1"/>
    </xf>
    <xf numFmtId="0" fontId="27" fillId="7" borderId="43" xfId="1" applyFont="1" applyFill="1" applyBorder="1" applyAlignment="1">
      <alignment horizontal="center" vertical="center" shrinkToFit="1"/>
    </xf>
    <xf numFmtId="0" fontId="27" fillId="7" borderId="41" xfId="1" applyFont="1" applyFill="1" applyBorder="1" applyAlignment="1">
      <alignment horizontal="center" vertical="center" shrinkToFit="1"/>
    </xf>
    <xf numFmtId="0" fontId="27" fillId="7" borderId="42" xfId="1" applyFont="1" applyFill="1" applyBorder="1" applyAlignment="1">
      <alignment horizontal="center" vertical="center" shrinkToFit="1"/>
    </xf>
    <xf numFmtId="0" fontId="30" fillId="3" borderId="0" xfId="1" applyFont="1" applyFill="1" applyAlignment="1">
      <alignment horizontal="center"/>
    </xf>
    <xf numFmtId="0" fontId="27" fillId="7" borderId="8" xfId="1" applyFont="1" applyFill="1" applyBorder="1" applyAlignment="1">
      <alignment horizontal="center" vertical="center" shrinkToFit="1"/>
    </xf>
    <xf numFmtId="0" fontId="27" fillId="7" borderId="27" xfId="1" applyFont="1" applyFill="1" applyBorder="1" applyAlignment="1">
      <alignment horizontal="center" vertical="center" shrinkToFit="1"/>
    </xf>
    <xf numFmtId="0" fontId="27" fillId="7" borderId="4" xfId="1" applyFont="1" applyFill="1" applyBorder="1" applyAlignment="1">
      <alignment horizontal="center" vertical="center" shrinkToFit="1"/>
    </xf>
    <xf numFmtId="0" fontId="27" fillId="3" borderId="23" xfId="1" applyFont="1" applyFill="1" applyBorder="1" applyAlignment="1">
      <alignment horizontal="center" vertical="center" shrinkToFit="1"/>
    </xf>
    <xf numFmtId="0" fontId="27" fillId="7" borderId="18" xfId="1" applyFont="1" applyFill="1" applyBorder="1" applyAlignment="1">
      <alignment horizontal="center" vertical="center" shrinkToFit="1"/>
    </xf>
    <xf numFmtId="0" fontId="27" fillId="7" borderId="19" xfId="1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9" fillId="0" borderId="0" xfId="1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</cellXfs>
  <cellStyles count="3">
    <cellStyle name="표준" xfId="0" builtinId="0"/>
    <cellStyle name="표준 2" xfId="2"/>
    <cellStyle name="표준 3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75843</xdr:colOff>
      <xdr:row>2</xdr:row>
      <xdr:rowOff>32584</xdr:rowOff>
    </xdr:from>
    <xdr:ext cx="600432" cy="609855"/>
    <xdr:pic>
      <xdr:nvPicPr>
        <xdr:cNvPr id="2" name="그림 1" descr="xl/media/image1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5843" y="775534"/>
          <a:ext cx="600432" cy="609855"/>
        </a:xfrm>
        <a:prstGeom prst="rect">
          <a:avLst/>
        </a:prstGeom>
        <a:noFill/>
        <a:ln w="0" cap="flat" cmpd="sng">
          <a:noFill/>
          <a:prstDash/>
        </a:ln>
      </xdr:spPr>
    </xdr:pic>
    <xdr:clientData/>
  </xdr:oneCellAnchor>
  <xdr:twoCellAnchor>
    <xdr:from>
      <xdr:col>0</xdr:col>
      <xdr:colOff>12533</xdr:colOff>
      <xdr:row>1</xdr:row>
      <xdr:rowOff>47625</xdr:rowOff>
    </xdr:from>
    <xdr:to>
      <xdr:col>9</xdr:col>
      <xdr:colOff>152902</xdr:colOff>
      <xdr:row>1</xdr:row>
      <xdr:rowOff>210553</xdr:rowOff>
    </xdr:to>
    <xdr:sp macro="" textlink="">
      <xdr:nvSpPr>
        <xdr:cNvPr id="3" name="모서리가 둥근 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Rot="1"/>
        </xdr:cNvSpPr>
      </xdr:nvSpPr>
      <xdr:spPr>
        <a:xfrm>
          <a:off x="12533" y="523875"/>
          <a:ext cx="4407569" cy="162928"/>
        </a:xfrm>
        <a:prstGeom prst="roundRect">
          <a:avLst>
            <a:gd name="adj" fmla="val 16667"/>
          </a:avLst>
        </a:prstGeom>
        <a:noFill/>
        <a:ln w="25400" cap="flat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overflow" wrap="square" lIns="91440" tIns="0" rIns="91440" bIns="0" anchor="ctr"/>
        <a:lstStyle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FF0000"/>
              </a:solidFill>
              <a:latin typeface="Calibri"/>
              <a:ea typeface="Calibri"/>
            </a:rPr>
            <a:t>변경시 파트장 보고 및 어사인표 변경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tabSelected="1" zoomScale="85" zoomScaleNormal="85" workbookViewId="0">
      <selection activeCell="AX21" sqref="AX21"/>
    </sheetView>
  </sheetViews>
  <sheetFormatPr defaultRowHeight="16.5"/>
  <cols>
    <col min="1" max="1" width="9.5" customWidth="1"/>
    <col min="2" max="3" width="6.375" customWidth="1"/>
    <col min="4" max="11" width="5.625" style="104" customWidth="1"/>
    <col min="12" max="17" width="5.5" style="104" customWidth="1"/>
    <col min="18" max="31" width="5.625" style="104" customWidth="1"/>
    <col min="32" max="32" width="7.25" style="104" bestFit="1" customWidth="1"/>
    <col min="33" max="35" width="3.875" customWidth="1"/>
    <col min="36" max="37" width="4.75" customWidth="1"/>
    <col min="38" max="38" width="3.75" customWidth="1"/>
    <col min="39" max="46" width="3.875" customWidth="1"/>
  </cols>
  <sheetData>
    <row r="1" spans="1:47" ht="37.5">
      <c r="A1" s="170" t="s">
        <v>0</v>
      </c>
      <c r="B1" s="170"/>
      <c r="C1" s="170"/>
      <c r="D1" s="170"/>
      <c r="E1" s="170"/>
      <c r="F1" s="170"/>
      <c r="G1" s="170"/>
      <c r="H1" s="170"/>
      <c r="I1" s="171" t="str">
        <f>D55&amp;E55&amp;F55&amp;G55&amp;H55&amp;I55&amp;J55&amp;K55&amp;L55&amp;M55&amp;N55&amp;O55&amp;P55&amp;Q55&amp;R55&amp;S55&amp;T55&amp;U55&amp;V55&amp;W55&amp;X55&amp;Y55&amp;Z55&amp;AA55&amp;AB55&amp;AC55&amp;AD55&amp;AE55</f>
        <v>1일3일7일8일10일12일21일22일23일28일</v>
      </c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"/>
    </row>
    <row r="2" spans="1:47" ht="21" thickBot="1">
      <c r="A2" s="2" t="s">
        <v>1</v>
      </c>
      <c r="B2" s="3"/>
      <c r="C2" s="3"/>
      <c r="D2" s="4"/>
      <c r="E2" s="4"/>
      <c r="F2" s="4"/>
      <c r="G2" s="4"/>
      <c r="H2" s="4"/>
      <c r="I2" s="4"/>
      <c r="J2" s="4"/>
      <c r="K2" s="172" t="s">
        <v>58</v>
      </c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5"/>
      <c r="X2" s="6"/>
      <c r="Y2" s="6"/>
      <c r="Z2" s="6"/>
      <c r="AA2" s="6"/>
      <c r="AB2" s="6"/>
      <c r="AC2" s="7" t="s">
        <v>2</v>
      </c>
      <c r="AD2" s="7"/>
      <c r="AE2" s="7"/>
      <c r="AF2"/>
      <c r="AG2" s="173" t="s">
        <v>149</v>
      </c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4"/>
    </row>
    <row r="3" spans="1:47" ht="18" thickBot="1">
      <c r="A3" s="8"/>
      <c r="B3" s="9"/>
      <c r="C3" s="9"/>
      <c r="D3" s="10"/>
      <c r="E3" s="11"/>
      <c r="F3" s="11"/>
      <c r="G3" s="120"/>
      <c r="H3" s="12"/>
      <c r="I3" s="13"/>
      <c r="J3" s="14"/>
      <c r="K3" s="15"/>
      <c r="L3" s="16"/>
      <c r="M3" s="17"/>
      <c r="N3" s="18"/>
      <c r="O3" s="18"/>
      <c r="P3" s="17"/>
      <c r="Q3" s="19"/>
      <c r="R3" s="15"/>
      <c r="S3" s="18" t="s">
        <v>100</v>
      </c>
      <c r="T3" s="18" t="s">
        <v>100</v>
      </c>
      <c r="U3" s="18" t="s">
        <v>100</v>
      </c>
      <c r="V3" s="11"/>
      <c r="W3" s="13"/>
      <c r="X3" s="20"/>
      <c r="Y3" s="116"/>
      <c r="Z3" s="18"/>
      <c r="AA3" s="21"/>
      <c r="AB3" s="21"/>
      <c r="AC3" s="21"/>
      <c r="AD3" s="22"/>
      <c r="AE3" s="23"/>
      <c r="AF3"/>
      <c r="AG3" s="174"/>
      <c r="AH3" s="174"/>
      <c r="AI3" s="174"/>
      <c r="AJ3" s="174"/>
      <c r="AK3" s="174"/>
      <c r="AL3" s="174"/>
      <c r="AM3" s="174"/>
      <c r="AN3" s="174"/>
      <c r="AO3" s="174"/>
      <c r="AP3" s="174"/>
      <c r="AQ3" s="174"/>
      <c r="AR3" s="174"/>
      <c r="AS3" s="174"/>
      <c r="AT3" s="174"/>
      <c r="AU3" s="174"/>
    </row>
    <row r="4" spans="1:47" ht="17.25" thickBot="1">
      <c r="A4" s="24"/>
      <c r="B4" s="25"/>
      <c r="C4" s="26"/>
      <c r="D4" s="27" t="s">
        <v>59</v>
      </c>
      <c r="E4" s="28" t="s">
        <v>60</v>
      </c>
      <c r="F4" s="28" t="s">
        <v>61</v>
      </c>
      <c r="G4" s="28" t="s">
        <v>62</v>
      </c>
      <c r="H4" s="28" t="s">
        <v>63</v>
      </c>
      <c r="I4" s="28" t="s">
        <v>64</v>
      </c>
      <c r="J4" s="29" t="s">
        <v>65</v>
      </c>
      <c r="K4" s="27" t="s">
        <v>66</v>
      </c>
      <c r="L4" s="28" t="s">
        <v>67</v>
      </c>
      <c r="M4" s="28" t="s">
        <v>68</v>
      </c>
      <c r="N4" s="28" t="s">
        <v>69</v>
      </c>
      <c r="O4" s="28" t="s">
        <v>70</v>
      </c>
      <c r="P4" s="28" t="s">
        <v>71</v>
      </c>
      <c r="Q4" s="29" t="s">
        <v>72</v>
      </c>
      <c r="R4" s="27" t="s">
        <v>73</v>
      </c>
      <c r="S4" s="139" t="s">
        <v>74</v>
      </c>
      <c r="T4" s="139" t="s">
        <v>75</v>
      </c>
      <c r="U4" s="139" t="s">
        <v>76</v>
      </c>
      <c r="V4" s="28" t="s">
        <v>77</v>
      </c>
      <c r="W4" s="28" t="s">
        <v>78</v>
      </c>
      <c r="X4" s="29" t="s">
        <v>79</v>
      </c>
      <c r="Y4" s="27" t="s">
        <v>80</v>
      </c>
      <c r="Z4" s="28" t="s">
        <v>81</v>
      </c>
      <c r="AA4" s="28" t="s">
        <v>82</v>
      </c>
      <c r="AB4" s="28" t="s">
        <v>83</v>
      </c>
      <c r="AC4" s="28" t="s">
        <v>84</v>
      </c>
      <c r="AD4" s="28" t="s">
        <v>85</v>
      </c>
      <c r="AE4" s="29" t="s">
        <v>86</v>
      </c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</row>
    <row r="5" spans="1:47" ht="17.25" thickBot="1">
      <c r="A5" s="31"/>
      <c r="B5" s="32" t="s">
        <v>3</v>
      </c>
      <c r="C5" s="33" t="s">
        <v>4</v>
      </c>
      <c r="D5" s="34" t="s">
        <v>5</v>
      </c>
      <c r="E5" s="35" t="s">
        <v>6</v>
      </c>
      <c r="F5" s="35" t="s">
        <v>7</v>
      </c>
      <c r="G5" s="35" t="s">
        <v>8</v>
      </c>
      <c r="H5" s="35" t="s">
        <v>9</v>
      </c>
      <c r="I5" s="35" t="s">
        <v>10</v>
      </c>
      <c r="J5" s="36" t="s">
        <v>11</v>
      </c>
      <c r="K5" s="34" t="s">
        <v>5</v>
      </c>
      <c r="L5" s="35" t="s">
        <v>12</v>
      </c>
      <c r="M5" s="35" t="s">
        <v>13</v>
      </c>
      <c r="N5" s="40" t="s">
        <v>8</v>
      </c>
      <c r="O5" s="35" t="s">
        <v>14</v>
      </c>
      <c r="P5" s="35" t="s">
        <v>15</v>
      </c>
      <c r="Q5" s="36" t="s">
        <v>11</v>
      </c>
      <c r="R5" s="37" t="s">
        <v>5</v>
      </c>
      <c r="S5" s="140" t="s">
        <v>12</v>
      </c>
      <c r="T5" s="141" t="s">
        <v>7</v>
      </c>
      <c r="U5" s="141" t="s">
        <v>8</v>
      </c>
      <c r="V5" s="38" t="s">
        <v>9</v>
      </c>
      <c r="W5" s="38" t="s">
        <v>15</v>
      </c>
      <c r="X5" s="39" t="s">
        <v>11</v>
      </c>
      <c r="Y5" s="117" t="s">
        <v>5</v>
      </c>
      <c r="Z5" s="38" t="s">
        <v>12</v>
      </c>
      <c r="AA5" s="38" t="s">
        <v>7</v>
      </c>
      <c r="AB5" s="38" t="s">
        <v>8</v>
      </c>
      <c r="AC5" s="40" t="s">
        <v>14</v>
      </c>
      <c r="AD5" s="35" t="s">
        <v>15</v>
      </c>
      <c r="AE5" s="39" t="s">
        <v>11</v>
      </c>
      <c r="AF5" s="41" t="s">
        <v>16</v>
      </c>
      <c r="AG5" s="42" t="s">
        <v>17</v>
      </c>
      <c r="AH5" s="43" t="s">
        <v>18</v>
      </c>
      <c r="AI5" s="43" t="s">
        <v>19</v>
      </c>
      <c r="AJ5" s="43" t="s">
        <v>4</v>
      </c>
      <c r="AK5" s="43" t="s">
        <v>20</v>
      </c>
      <c r="AL5" s="43" t="s">
        <v>21</v>
      </c>
      <c r="AM5" s="43" t="s">
        <v>22</v>
      </c>
      <c r="AN5" s="44" t="s">
        <v>23</v>
      </c>
      <c r="AO5" s="41" t="s">
        <v>24</v>
      </c>
      <c r="AP5" s="43" t="s">
        <v>25</v>
      </c>
      <c r="AQ5" s="43" t="s">
        <v>26</v>
      </c>
      <c r="AR5" s="43" t="s">
        <v>27</v>
      </c>
      <c r="AS5" s="43" t="s">
        <v>28</v>
      </c>
      <c r="AT5" s="44" t="s">
        <v>29</v>
      </c>
    </row>
    <row r="6" spans="1:47">
      <c r="A6" s="45" t="s">
        <v>30</v>
      </c>
      <c r="B6" s="46"/>
      <c r="C6" s="47"/>
      <c r="D6" s="81" t="s">
        <v>99</v>
      </c>
      <c r="E6" s="80"/>
      <c r="F6" s="80"/>
      <c r="G6" s="145" t="s">
        <v>103</v>
      </c>
      <c r="H6" s="145" t="s">
        <v>105</v>
      </c>
      <c r="I6" s="145" t="s">
        <v>106</v>
      </c>
      <c r="J6" s="82"/>
      <c r="K6" s="81" t="s">
        <v>99</v>
      </c>
      <c r="L6" s="145" t="s">
        <v>103</v>
      </c>
      <c r="M6" s="145" t="s">
        <v>103</v>
      </c>
      <c r="N6" s="145" t="s">
        <v>105</v>
      </c>
      <c r="O6" s="145" t="s">
        <v>142</v>
      </c>
      <c r="P6" s="80"/>
      <c r="Q6" s="144" t="s">
        <v>128</v>
      </c>
      <c r="R6" s="81" t="s">
        <v>99</v>
      </c>
      <c r="S6" s="145" t="s">
        <v>103</v>
      </c>
      <c r="T6" s="145" t="s">
        <v>104</v>
      </c>
      <c r="U6" s="145" t="s">
        <v>103</v>
      </c>
      <c r="V6" s="145" t="s">
        <v>105</v>
      </c>
      <c r="W6" s="80"/>
      <c r="X6" s="82"/>
      <c r="Y6" s="81" t="s">
        <v>99</v>
      </c>
      <c r="Z6" s="80"/>
      <c r="AA6" s="167"/>
      <c r="AB6" s="163"/>
      <c r="AC6" s="167"/>
      <c r="AD6" s="145" t="s">
        <v>103</v>
      </c>
      <c r="AE6" s="146" t="s">
        <v>117</v>
      </c>
      <c r="AF6" s="83">
        <f>SUM(AG6:AN6)</f>
        <v>11</v>
      </c>
      <c r="AG6" s="84">
        <f t="shared" ref="AG6:AH28" si="0">COUNTIF($D6:$AE6,AG$5)</f>
        <v>4</v>
      </c>
      <c r="AH6" s="49">
        <f t="shared" si="0"/>
        <v>3</v>
      </c>
      <c r="AI6" s="49">
        <f t="shared" ref="AI6:AI43" si="1">COUNTIF($D6:$AE6,"법*")</f>
        <v>1</v>
      </c>
      <c r="AJ6" s="49">
        <f t="shared" ref="AJ6:AJ43" si="2">COUNTIF($D6:$AE6,"*수면*")</f>
        <v>0</v>
      </c>
      <c r="AK6" s="49">
        <f t="shared" ref="AK6:AK43" si="3">COUNTIF($D6:$AE6,"경*")</f>
        <v>0</v>
      </c>
      <c r="AL6" s="49">
        <f t="shared" ref="AL6:AL43" si="4">COUNTIF($D6:$AE6,"공*")</f>
        <v>0</v>
      </c>
      <c r="AM6" s="49">
        <f t="shared" ref="AM6:AM43" si="5">COUNTIF($D6:$AE6,AM$5)+COUNTIF($D6:$AE6,"휴가")</f>
        <v>2</v>
      </c>
      <c r="AN6" s="50">
        <f t="shared" ref="AN6:AN43" si="6">COUNTIF($D6:$AE6,"생*")+COUNTIF($D6:$AE6,"산전*")</f>
        <v>1</v>
      </c>
      <c r="AO6" s="48">
        <f t="shared" ref="AO6:AT23" si="7">COUNTIF($D6:$AE6,AO$5)</f>
        <v>0</v>
      </c>
      <c r="AP6" s="49">
        <f t="shared" si="7"/>
        <v>0</v>
      </c>
      <c r="AQ6" s="49">
        <f t="shared" si="7"/>
        <v>0</v>
      </c>
      <c r="AR6" s="49">
        <f t="shared" si="7"/>
        <v>7</v>
      </c>
      <c r="AS6" s="49">
        <f t="shared" si="7"/>
        <v>0</v>
      </c>
      <c r="AT6" s="50">
        <f t="shared" si="7"/>
        <v>0</v>
      </c>
    </row>
    <row r="7" spans="1:47">
      <c r="A7" s="51" t="s">
        <v>31</v>
      </c>
      <c r="B7" s="52"/>
      <c r="C7" s="53"/>
      <c r="D7" s="54"/>
      <c r="E7" s="55" t="s">
        <v>99</v>
      </c>
      <c r="F7" s="55"/>
      <c r="G7" s="55"/>
      <c r="H7" s="142" t="s">
        <v>126</v>
      </c>
      <c r="I7" s="55"/>
      <c r="J7" s="57"/>
      <c r="K7" s="54"/>
      <c r="L7" s="55" t="s">
        <v>99</v>
      </c>
      <c r="M7" s="55"/>
      <c r="N7" s="55"/>
      <c r="O7" s="55"/>
      <c r="P7" s="55"/>
      <c r="Q7" s="57"/>
      <c r="R7" s="143" t="s">
        <v>101</v>
      </c>
      <c r="S7" s="55" t="s">
        <v>99</v>
      </c>
      <c r="T7" s="142" t="s">
        <v>102</v>
      </c>
      <c r="U7" s="142" t="s">
        <v>110</v>
      </c>
      <c r="V7" s="55"/>
      <c r="W7" s="55"/>
      <c r="X7" s="151" t="s">
        <v>146</v>
      </c>
      <c r="Y7" s="54"/>
      <c r="Z7" s="55" t="s">
        <v>99</v>
      </c>
      <c r="AA7" s="55"/>
      <c r="AB7" s="55"/>
      <c r="AC7" s="142" t="s">
        <v>108</v>
      </c>
      <c r="AD7" s="142" t="s">
        <v>107</v>
      </c>
      <c r="AE7" s="147" t="s">
        <v>109</v>
      </c>
      <c r="AF7" s="88">
        <f t="shared" ref="AF7:AF43" si="8">SUM(AG7:AN7)</f>
        <v>8</v>
      </c>
      <c r="AG7" s="89">
        <f t="shared" si="0"/>
        <v>4</v>
      </c>
      <c r="AH7" s="59">
        <f t="shared" si="0"/>
        <v>1</v>
      </c>
      <c r="AI7" s="59">
        <f t="shared" si="1"/>
        <v>2</v>
      </c>
      <c r="AJ7" s="59">
        <f t="shared" si="2"/>
        <v>0</v>
      </c>
      <c r="AK7" s="59">
        <f t="shared" si="3"/>
        <v>0</v>
      </c>
      <c r="AL7" s="59">
        <f t="shared" si="4"/>
        <v>0</v>
      </c>
      <c r="AM7" s="59">
        <f t="shared" si="5"/>
        <v>0</v>
      </c>
      <c r="AN7" s="60">
        <f t="shared" si="6"/>
        <v>1</v>
      </c>
      <c r="AO7" s="58">
        <f t="shared" si="7"/>
        <v>0</v>
      </c>
      <c r="AP7" s="59">
        <f t="shared" si="7"/>
        <v>0</v>
      </c>
      <c r="AQ7" s="59">
        <f t="shared" si="7"/>
        <v>0</v>
      </c>
      <c r="AR7" s="59">
        <f t="shared" si="7"/>
        <v>3</v>
      </c>
      <c r="AS7" s="59">
        <f t="shared" si="7"/>
        <v>1</v>
      </c>
      <c r="AT7" s="60">
        <f t="shared" si="7"/>
        <v>0</v>
      </c>
    </row>
    <row r="8" spans="1:47">
      <c r="A8" s="51" t="s">
        <v>33</v>
      </c>
      <c r="B8" s="61"/>
      <c r="C8" s="53"/>
      <c r="D8" s="54"/>
      <c r="E8" s="55"/>
      <c r="F8" s="142" t="s">
        <v>116</v>
      </c>
      <c r="G8" s="55" t="s">
        <v>99</v>
      </c>
      <c r="H8" s="142" t="s">
        <v>115</v>
      </c>
      <c r="I8" s="55"/>
      <c r="J8" s="57"/>
      <c r="K8" s="54"/>
      <c r="L8" s="55"/>
      <c r="M8" s="142" t="s">
        <v>124</v>
      </c>
      <c r="N8" s="55" t="s">
        <v>99</v>
      </c>
      <c r="O8" s="142" t="s">
        <v>111</v>
      </c>
      <c r="P8" s="55"/>
      <c r="Q8" s="57"/>
      <c r="R8" s="54"/>
      <c r="S8" s="55"/>
      <c r="T8" s="55"/>
      <c r="U8" s="55" t="s">
        <v>99</v>
      </c>
      <c r="V8" s="55"/>
      <c r="W8" s="142" t="s">
        <v>119</v>
      </c>
      <c r="X8" s="151" t="s">
        <v>118</v>
      </c>
      <c r="Y8" s="54"/>
      <c r="Z8" s="55"/>
      <c r="AA8" s="55"/>
      <c r="AB8" s="55" t="s">
        <v>99</v>
      </c>
      <c r="AC8" s="55"/>
      <c r="AD8" s="55"/>
      <c r="AE8" s="122"/>
      <c r="AF8" s="88">
        <f t="shared" si="8"/>
        <v>8</v>
      </c>
      <c r="AG8" s="89">
        <f t="shared" si="0"/>
        <v>4</v>
      </c>
      <c r="AH8" s="59">
        <f t="shared" si="0"/>
        <v>3</v>
      </c>
      <c r="AI8" s="59">
        <f t="shared" si="1"/>
        <v>0</v>
      </c>
      <c r="AJ8" s="59">
        <f t="shared" si="2"/>
        <v>0</v>
      </c>
      <c r="AK8" s="59">
        <f t="shared" si="3"/>
        <v>0</v>
      </c>
      <c r="AL8" s="59">
        <f t="shared" si="4"/>
        <v>0</v>
      </c>
      <c r="AM8" s="59">
        <f t="shared" si="5"/>
        <v>0</v>
      </c>
      <c r="AN8" s="60">
        <f t="shared" si="6"/>
        <v>1</v>
      </c>
      <c r="AO8" s="58">
        <f t="shared" si="7"/>
        <v>0</v>
      </c>
      <c r="AP8" s="59">
        <f t="shared" si="7"/>
        <v>0</v>
      </c>
      <c r="AQ8" s="59">
        <f t="shared" si="7"/>
        <v>0</v>
      </c>
      <c r="AR8" s="59">
        <f t="shared" si="7"/>
        <v>0</v>
      </c>
      <c r="AS8" s="59">
        <f t="shared" si="7"/>
        <v>1</v>
      </c>
      <c r="AT8" s="60">
        <f t="shared" si="7"/>
        <v>0</v>
      </c>
    </row>
    <row r="9" spans="1:47">
      <c r="A9" s="51" t="s">
        <v>35</v>
      </c>
      <c r="B9" s="52"/>
      <c r="C9" s="53"/>
      <c r="D9" s="54" t="s">
        <v>99</v>
      </c>
      <c r="E9" s="55"/>
      <c r="F9" s="55"/>
      <c r="G9" s="55"/>
      <c r="H9" s="55"/>
      <c r="I9" s="142" t="s">
        <v>28</v>
      </c>
      <c r="J9" s="151" t="s">
        <v>105</v>
      </c>
      <c r="K9" s="54" t="s">
        <v>99</v>
      </c>
      <c r="L9" s="55"/>
      <c r="M9" s="55"/>
      <c r="N9" s="55"/>
      <c r="O9" s="55"/>
      <c r="P9" s="55"/>
      <c r="Q9" s="57"/>
      <c r="R9" s="54" t="s">
        <v>99</v>
      </c>
      <c r="S9" s="142" t="s">
        <v>121</v>
      </c>
      <c r="T9" s="55"/>
      <c r="U9" s="142" t="s">
        <v>145</v>
      </c>
      <c r="V9" s="55"/>
      <c r="W9" s="55"/>
      <c r="X9" s="57"/>
      <c r="Y9" s="54" t="s">
        <v>99</v>
      </c>
      <c r="Z9" s="55"/>
      <c r="AA9" s="55"/>
      <c r="AB9" s="55"/>
      <c r="AC9" s="142" t="s">
        <v>145</v>
      </c>
      <c r="AD9" s="55"/>
      <c r="AE9" s="122"/>
      <c r="AF9" s="88">
        <f t="shared" si="8"/>
        <v>6</v>
      </c>
      <c r="AG9" s="89">
        <f t="shared" si="0"/>
        <v>4</v>
      </c>
      <c r="AH9" s="59">
        <f t="shared" si="0"/>
        <v>1</v>
      </c>
      <c r="AI9" s="59">
        <f t="shared" si="1"/>
        <v>1</v>
      </c>
      <c r="AJ9" s="59">
        <f t="shared" si="2"/>
        <v>0</v>
      </c>
      <c r="AK9" s="59">
        <f t="shared" si="3"/>
        <v>0</v>
      </c>
      <c r="AL9" s="59">
        <f t="shared" si="4"/>
        <v>0</v>
      </c>
      <c r="AM9" s="59">
        <f t="shared" si="5"/>
        <v>0</v>
      </c>
      <c r="AN9" s="60">
        <f t="shared" si="6"/>
        <v>0</v>
      </c>
      <c r="AO9" s="58">
        <f t="shared" si="7"/>
        <v>0</v>
      </c>
      <c r="AP9" s="59">
        <f t="shared" si="7"/>
        <v>0</v>
      </c>
      <c r="AQ9" s="59">
        <f t="shared" si="7"/>
        <v>0</v>
      </c>
      <c r="AR9" s="59">
        <f t="shared" si="7"/>
        <v>0</v>
      </c>
      <c r="AS9" s="59">
        <f t="shared" si="7"/>
        <v>1</v>
      </c>
      <c r="AT9" s="60">
        <f t="shared" si="7"/>
        <v>2</v>
      </c>
    </row>
    <row r="10" spans="1:47">
      <c r="A10" s="62" t="s">
        <v>36</v>
      </c>
      <c r="B10" s="61"/>
      <c r="C10" s="63"/>
      <c r="D10" s="54"/>
      <c r="E10" s="55"/>
      <c r="F10" s="142" t="s">
        <v>125</v>
      </c>
      <c r="G10" s="55"/>
      <c r="H10" s="55"/>
      <c r="I10" s="55"/>
      <c r="J10" s="57" t="s">
        <v>99</v>
      </c>
      <c r="K10" s="54"/>
      <c r="L10" s="55"/>
      <c r="M10" s="142" t="s">
        <v>106</v>
      </c>
      <c r="N10" s="142" t="s">
        <v>105</v>
      </c>
      <c r="O10" s="55"/>
      <c r="P10" s="55"/>
      <c r="Q10" s="57" t="s">
        <v>99</v>
      </c>
      <c r="R10" s="143" t="s">
        <v>105</v>
      </c>
      <c r="S10" s="142" t="s">
        <v>121</v>
      </c>
      <c r="T10" s="55"/>
      <c r="U10" s="55"/>
      <c r="V10" s="55"/>
      <c r="W10" s="55"/>
      <c r="X10" s="57" t="s">
        <v>99</v>
      </c>
      <c r="Y10" s="54"/>
      <c r="Z10" s="55"/>
      <c r="AA10" s="55"/>
      <c r="AB10" s="142" t="s">
        <v>127</v>
      </c>
      <c r="AC10" s="142" t="s">
        <v>18</v>
      </c>
      <c r="AD10" s="142" t="s">
        <v>18</v>
      </c>
      <c r="AE10" s="122" t="s">
        <v>99</v>
      </c>
      <c r="AF10" s="88">
        <f t="shared" si="8"/>
        <v>11</v>
      </c>
      <c r="AG10" s="89">
        <f t="shared" si="0"/>
        <v>4</v>
      </c>
      <c r="AH10" s="59">
        <f t="shared" si="0"/>
        <v>4</v>
      </c>
      <c r="AI10" s="59">
        <f t="shared" si="1"/>
        <v>1</v>
      </c>
      <c r="AJ10" s="59">
        <f t="shared" si="2"/>
        <v>1</v>
      </c>
      <c r="AK10" s="59">
        <f t="shared" si="3"/>
        <v>0</v>
      </c>
      <c r="AL10" s="59">
        <f t="shared" si="4"/>
        <v>0</v>
      </c>
      <c r="AM10" s="59">
        <f t="shared" si="5"/>
        <v>0</v>
      </c>
      <c r="AN10" s="60">
        <f t="shared" si="6"/>
        <v>1</v>
      </c>
      <c r="AO10" s="58">
        <f t="shared" si="7"/>
        <v>0</v>
      </c>
      <c r="AP10" s="59">
        <f t="shared" si="7"/>
        <v>0</v>
      </c>
      <c r="AQ10" s="59">
        <f t="shared" si="7"/>
        <v>0</v>
      </c>
      <c r="AR10" s="59">
        <f t="shared" si="7"/>
        <v>0</v>
      </c>
      <c r="AS10" s="59">
        <f t="shared" si="7"/>
        <v>0</v>
      </c>
      <c r="AT10" s="60">
        <f t="shared" si="7"/>
        <v>0</v>
      </c>
    </row>
    <row r="11" spans="1:47">
      <c r="A11" s="51" t="s">
        <v>37</v>
      </c>
      <c r="B11" s="52"/>
      <c r="C11" s="53"/>
      <c r="D11" s="143" t="s">
        <v>106</v>
      </c>
      <c r="E11" s="55"/>
      <c r="F11" s="55"/>
      <c r="G11" s="142" t="s">
        <v>105</v>
      </c>
      <c r="H11" s="55" t="s">
        <v>99</v>
      </c>
      <c r="I11" s="142" t="s">
        <v>103</v>
      </c>
      <c r="J11" s="151" t="s">
        <v>105</v>
      </c>
      <c r="K11" s="143" t="s">
        <v>105</v>
      </c>
      <c r="L11" s="55"/>
      <c r="M11" s="55"/>
      <c r="N11" s="55"/>
      <c r="O11" s="55" t="s">
        <v>99</v>
      </c>
      <c r="P11" s="142" t="s">
        <v>120</v>
      </c>
      <c r="Q11" s="57"/>
      <c r="R11" s="54"/>
      <c r="S11" s="55"/>
      <c r="T11" s="142" t="s">
        <v>103</v>
      </c>
      <c r="U11" s="142" t="s">
        <v>121</v>
      </c>
      <c r="V11" s="55" t="s">
        <v>99</v>
      </c>
      <c r="W11" s="55"/>
      <c r="X11" s="57"/>
      <c r="Y11" s="54"/>
      <c r="Z11" s="55"/>
      <c r="AA11" s="142" t="s">
        <v>103</v>
      </c>
      <c r="AB11" s="142" t="s">
        <v>105</v>
      </c>
      <c r="AC11" s="55" t="s">
        <v>99</v>
      </c>
      <c r="AD11" s="55"/>
      <c r="AE11" s="122"/>
      <c r="AF11" s="88">
        <f t="shared" si="8"/>
        <v>11</v>
      </c>
      <c r="AG11" s="89">
        <f t="shared" si="0"/>
        <v>4</v>
      </c>
      <c r="AH11" s="59">
        <f t="shared" si="0"/>
        <v>4</v>
      </c>
      <c r="AI11" s="59">
        <f t="shared" si="1"/>
        <v>1</v>
      </c>
      <c r="AJ11" s="59">
        <f t="shared" si="2"/>
        <v>1</v>
      </c>
      <c r="AK11" s="59">
        <f t="shared" si="3"/>
        <v>0</v>
      </c>
      <c r="AL11" s="59">
        <f t="shared" si="4"/>
        <v>0</v>
      </c>
      <c r="AM11" s="59">
        <f t="shared" si="5"/>
        <v>0</v>
      </c>
      <c r="AN11" s="60">
        <f t="shared" si="6"/>
        <v>1</v>
      </c>
      <c r="AO11" s="58">
        <f t="shared" si="7"/>
        <v>0</v>
      </c>
      <c r="AP11" s="59">
        <f t="shared" si="7"/>
        <v>0</v>
      </c>
      <c r="AQ11" s="59">
        <f t="shared" si="7"/>
        <v>0</v>
      </c>
      <c r="AR11" s="59">
        <f t="shared" si="7"/>
        <v>3</v>
      </c>
      <c r="AS11" s="59">
        <f t="shared" si="7"/>
        <v>0</v>
      </c>
      <c r="AT11" s="60">
        <f t="shared" si="7"/>
        <v>0</v>
      </c>
    </row>
    <row r="12" spans="1:47">
      <c r="A12" s="51" t="s">
        <v>38</v>
      </c>
      <c r="B12" s="52"/>
      <c r="C12" s="53"/>
      <c r="D12" s="143" t="s">
        <v>135</v>
      </c>
      <c r="E12" s="142" t="s">
        <v>138</v>
      </c>
      <c r="F12" s="55"/>
      <c r="G12" s="55"/>
      <c r="H12" s="142" t="s">
        <v>139</v>
      </c>
      <c r="I12" s="55" t="s">
        <v>99</v>
      </c>
      <c r="J12" s="57"/>
      <c r="K12" s="54"/>
      <c r="L12" s="142" t="s">
        <v>138</v>
      </c>
      <c r="M12" s="55"/>
      <c r="N12" s="55"/>
      <c r="O12" s="142" t="s">
        <v>139</v>
      </c>
      <c r="P12" s="55" t="s">
        <v>99</v>
      </c>
      <c r="Q12" s="57"/>
      <c r="R12" s="54"/>
      <c r="S12" s="55"/>
      <c r="T12" s="55"/>
      <c r="U12" s="55"/>
      <c r="V12" s="55"/>
      <c r="W12" s="55" t="s">
        <v>99</v>
      </c>
      <c r="X12" s="57"/>
      <c r="Y12" s="54"/>
      <c r="Z12" s="142" t="s">
        <v>138</v>
      </c>
      <c r="AA12" s="55"/>
      <c r="AB12" s="142" t="s">
        <v>137</v>
      </c>
      <c r="AC12" s="55"/>
      <c r="AD12" s="55" t="s">
        <v>99</v>
      </c>
      <c r="AE12" s="147" t="s">
        <v>136</v>
      </c>
      <c r="AF12" s="88">
        <f t="shared" si="8"/>
        <v>6</v>
      </c>
      <c r="AG12" s="89">
        <f t="shared" si="0"/>
        <v>4</v>
      </c>
      <c r="AH12" s="59">
        <f t="shared" si="0"/>
        <v>2</v>
      </c>
      <c r="AI12" s="59">
        <f t="shared" si="1"/>
        <v>0</v>
      </c>
      <c r="AJ12" s="59">
        <f t="shared" si="2"/>
        <v>0</v>
      </c>
      <c r="AK12" s="59">
        <f t="shared" si="3"/>
        <v>0</v>
      </c>
      <c r="AL12" s="59">
        <f t="shared" si="4"/>
        <v>0</v>
      </c>
      <c r="AM12" s="59">
        <f t="shared" si="5"/>
        <v>0</v>
      </c>
      <c r="AN12" s="60">
        <f t="shared" si="6"/>
        <v>0</v>
      </c>
      <c r="AO12" s="58">
        <f t="shared" si="7"/>
        <v>0</v>
      </c>
      <c r="AP12" s="59">
        <f t="shared" si="7"/>
        <v>0</v>
      </c>
      <c r="AQ12" s="59">
        <f t="shared" si="7"/>
        <v>0</v>
      </c>
      <c r="AR12" s="59">
        <f t="shared" si="7"/>
        <v>0</v>
      </c>
      <c r="AS12" s="59">
        <f t="shared" si="7"/>
        <v>3</v>
      </c>
      <c r="AT12" s="60">
        <f t="shared" si="7"/>
        <v>3</v>
      </c>
    </row>
    <row r="13" spans="1:47">
      <c r="A13" s="64" t="s">
        <v>39</v>
      </c>
      <c r="B13" s="65"/>
      <c r="C13" s="66"/>
      <c r="D13" s="143" t="s">
        <v>127</v>
      </c>
      <c r="E13" s="142" t="s">
        <v>113</v>
      </c>
      <c r="F13" s="55" t="s">
        <v>99</v>
      </c>
      <c r="G13" s="55"/>
      <c r="H13" s="55"/>
      <c r="I13" s="142" t="s">
        <v>103</v>
      </c>
      <c r="J13" s="151" t="s">
        <v>106</v>
      </c>
      <c r="K13" s="54"/>
      <c r="L13" s="142" t="s">
        <v>113</v>
      </c>
      <c r="M13" s="55" t="s">
        <v>99</v>
      </c>
      <c r="N13" s="142" t="s">
        <v>114</v>
      </c>
      <c r="O13" s="55"/>
      <c r="P13" s="55"/>
      <c r="Q13" s="57"/>
      <c r="R13" s="54"/>
      <c r="S13" s="55"/>
      <c r="T13" s="55" t="s">
        <v>99</v>
      </c>
      <c r="U13" s="55"/>
      <c r="V13" s="55"/>
      <c r="W13" s="55"/>
      <c r="X13" s="151" t="s">
        <v>127</v>
      </c>
      <c r="Y13" s="143" t="s">
        <v>113</v>
      </c>
      <c r="Z13" s="142" t="s">
        <v>128</v>
      </c>
      <c r="AA13" s="55" t="s">
        <v>99</v>
      </c>
      <c r="AB13" s="55"/>
      <c r="AC13" s="55"/>
      <c r="AD13" s="55"/>
      <c r="AE13" s="122"/>
      <c r="AF13" s="88">
        <f t="shared" si="8"/>
        <v>9</v>
      </c>
      <c r="AG13" s="89">
        <f t="shared" si="0"/>
        <v>4</v>
      </c>
      <c r="AH13" s="59">
        <f t="shared" si="0"/>
        <v>3</v>
      </c>
      <c r="AI13" s="59">
        <f t="shared" si="1"/>
        <v>0</v>
      </c>
      <c r="AJ13" s="59">
        <f t="shared" si="2"/>
        <v>0</v>
      </c>
      <c r="AK13" s="59">
        <f t="shared" si="3"/>
        <v>0</v>
      </c>
      <c r="AL13" s="59">
        <f t="shared" si="4"/>
        <v>0</v>
      </c>
      <c r="AM13" s="59">
        <f t="shared" si="5"/>
        <v>1</v>
      </c>
      <c r="AN13" s="60">
        <f t="shared" si="6"/>
        <v>1</v>
      </c>
      <c r="AO13" s="58">
        <f t="shared" si="7"/>
        <v>0</v>
      </c>
      <c r="AP13" s="59">
        <f t="shared" si="7"/>
        <v>0</v>
      </c>
      <c r="AQ13" s="59">
        <f t="shared" si="7"/>
        <v>0</v>
      </c>
      <c r="AR13" s="59">
        <f t="shared" si="7"/>
        <v>1</v>
      </c>
      <c r="AS13" s="59">
        <f t="shared" si="7"/>
        <v>0</v>
      </c>
      <c r="AT13" s="60">
        <f t="shared" si="7"/>
        <v>1</v>
      </c>
    </row>
    <row r="14" spans="1:47" ht="17.25" thickBot="1">
      <c r="A14" s="67" t="s">
        <v>40</v>
      </c>
      <c r="B14" s="68"/>
      <c r="C14" s="69"/>
      <c r="D14" s="149" t="s">
        <v>106</v>
      </c>
      <c r="E14" s="72"/>
      <c r="F14" s="72"/>
      <c r="G14" s="72"/>
      <c r="H14" s="150" t="s">
        <v>113</v>
      </c>
      <c r="I14" s="72" t="s">
        <v>99</v>
      </c>
      <c r="J14" s="148" t="s">
        <v>112</v>
      </c>
      <c r="K14" s="149" t="s">
        <v>113</v>
      </c>
      <c r="L14" s="72"/>
      <c r="M14" s="150" t="s">
        <v>103</v>
      </c>
      <c r="N14" s="150" t="s">
        <v>114</v>
      </c>
      <c r="O14" s="72"/>
      <c r="P14" s="72" t="s">
        <v>99</v>
      </c>
      <c r="Q14" s="74"/>
      <c r="R14" s="73"/>
      <c r="S14" s="72"/>
      <c r="T14" s="72"/>
      <c r="U14" s="72"/>
      <c r="V14" s="72"/>
      <c r="W14" s="72" t="s">
        <v>99</v>
      </c>
      <c r="X14" s="74"/>
      <c r="Y14" s="73"/>
      <c r="Z14" s="72"/>
      <c r="AA14" s="72"/>
      <c r="AB14" s="72"/>
      <c r="AC14" s="72"/>
      <c r="AD14" s="72" t="s">
        <v>99</v>
      </c>
      <c r="AE14" s="133"/>
      <c r="AF14" s="137">
        <f t="shared" si="8"/>
        <v>8</v>
      </c>
      <c r="AG14" s="118">
        <f t="shared" si="0"/>
        <v>4</v>
      </c>
      <c r="AH14" s="76">
        <f t="shared" si="0"/>
        <v>2</v>
      </c>
      <c r="AI14" s="76">
        <f t="shared" si="1"/>
        <v>0</v>
      </c>
      <c r="AJ14" s="76">
        <f t="shared" si="2"/>
        <v>1</v>
      </c>
      <c r="AK14" s="76">
        <f t="shared" si="3"/>
        <v>0</v>
      </c>
      <c r="AL14" s="76">
        <f t="shared" si="4"/>
        <v>0</v>
      </c>
      <c r="AM14" s="76">
        <f t="shared" si="5"/>
        <v>0</v>
      </c>
      <c r="AN14" s="77">
        <f t="shared" si="6"/>
        <v>1</v>
      </c>
      <c r="AO14" s="75">
        <f t="shared" si="7"/>
        <v>0</v>
      </c>
      <c r="AP14" s="76">
        <f t="shared" si="7"/>
        <v>0</v>
      </c>
      <c r="AQ14" s="76">
        <f t="shared" si="7"/>
        <v>0</v>
      </c>
      <c r="AR14" s="76">
        <f t="shared" si="7"/>
        <v>1</v>
      </c>
      <c r="AS14" s="76">
        <f t="shared" si="7"/>
        <v>0</v>
      </c>
      <c r="AT14" s="77">
        <f t="shared" si="7"/>
        <v>1</v>
      </c>
    </row>
    <row r="15" spans="1:47">
      <c r="A15" s="78" t="s">
        <v>42</v>
      </c>
      <c r="B15" s="79"/>
      <c r="C15" s="109"/>
      <c r="D15" s="166" t="s">
        <v>114</v>
      </c>
      <c r="E15" s="80"/>
      <c r="F15" s="80"/>
      <c r="G15" s="80"/>
      <c r="H15" s="80"/>
      <c r="I15" s="80"/>
      <c r="J15" s="132" t="s">
        <v>99</v>
      </c>
      <c r="K15" s="81"/>
      <c r="L15" s="145" t="s">
        <v>103</v>
      </c>
      <c r="M15" s="145" t="s">
        <v>105</v>
      </c>
      <c r="N15" s="145" t="s">
        <v>105</v>
      </c>
      <c r="O15" s="145" t="s">
        <v>120</v>
      </c>
      <c r="P15" s="145" t="s">
        <v>106</v>
      </c>
      <c r="Q15" s="82" t="s">
        <v>99</v>
      </c>
      <c r="R15" s="166" t="s">
        <v>114</v>
      </c>
      <c r="S15" s="80"/>
      <c r="T15" s="145" t="s">
        <v>32</v>
      </c>
      <c r="U15" s="80"/>
      <c r="V15" s="80"/>
      <c r="W15" s="80"/>
      <c r="X15" s="82" t="s">
        <v>99</v>
      </c>
      <c r="Y15" s="81"/>
      <c r="Z15" s="80"/>
      <c r="AA15" s="80"/>
      <c r="AB15" s="80"/>
      <c r="AC15" s="80"/>
      <c r="AD15" s="80"/>
      <c r="AE15" s="132" t="s">
        <v>99</v>
      </c>
      <c r="AF15" s="83">
        <f t="shared" si="8"/>
        <v>9</v>
      </c>
      <c r="AG15" s="84">
        <f t="shared" si="0"/>
        <v>4</v>
      </c>
      <c r="AH15" s="49">
        <f t="shared" si="0"/>
        <v>2</v>
      </c>
      <c r="AI15" s="49">
        <f t="shared" si="1"/>
        <v>1</v>
      </c>
      <c r="AJ15" s="49">
        <f t="shared" si="2"/>
        <v>1</v>
      </c>
      <c r="AK15" s="49">
        <f t="shared" si="3"/>
        <v>0</v>
      </c>
      <c r="AL15" s="49">
        <f t="shared" si="4"/>
        <v>0</v>
      </c>
      <c r="AM15" s="49">
        <f t="shared" si="5"/>
        <v>0</v>
      </c>
      <c r="AN15" s="85">
        <f t="shared" si="6"/>
        <v>1</v>
      </c>
      <c r="AO15" s="48">
        <f t="shared" si="7"/>
        <v>0</v>
      </c>
      <c r="AP15" s="49">
        <f t="shared" si="7"/>
        <v>0</v>
      </c>
      <c r="AQ15" s="49">
        <f t="shared" si="7"/>
        <v>0</v>
      </c>
      <c r="AR15" s="49">
        <f t="shared" si="7"/>
        <v>1</v>
      </c>
      <c r="AS15" s="49">
        <f t="shared" si="7"/>
        <v>0</v>
      </c>
      <c r="AT15" s="50">
        <f t="shared" si="7"/>
        <v>2</v>
      </c>
    </row>
    <row r="16" spans="1:47">
      <c r="A16" s="86" t="s">
        <v>43</v>
      </c>
      <c r="B16" s="87"/>
      <c r="C16" s="110"/>
      <c r="D16" s="54"/>
      <c r="E16" s="55"/>
      <c r="F16" s="55"/>
      <c r="G16" s="55"/>
      <c r="H16" s="55"/>
      <c r="I16" s="55"/>
      <c r="J16" s="122" t="s">
        <v>99</v>
      </c>
      <c r="K16" s="54"/>
      <c r="L16" s="55"/>
      <c r="M16" s="55"/>
      <c r="N16" s="55"/>
      <c r="O16" s="55"/>
      <c r="P16" s="142" t="s">
        <v>105</v>
      </c>
      <c r="Q16" s="57" t="s">
        <v>99</v>
      </c>
      <c r="R16" s="143" t="s">
        <v>147</v>
      </c>
      <c r="S16" s="142" t="s">
        <v>114</v>
      </c>
      <c r="T16" s="55"/>
      <c r="U16" s="55"/>
      <c r="V16" s="55"/>
      <c r="W16" s="55"/>
      <c r="X16" s="57" t="s">
        <v>99</v>
      </c>
      <c r="Y16" s="54"/>
      <c r="Z16" s="55"/>
      <c r="AA16" s="55"/>
      <c r="AB16" s="142" t="s">
        <v>106</v>
      </c>
      <c r="AC16" s="55"/>
      <c r="AD16" s="55"/>
      <c r="AE16" s="122" t="s">
        <v>99</v>
      </c>
      <c r="AF16" s="88">
        <f t="shared" si="8"/>
        <v>6</v>
      </c>
      <c r="AG16" s="89">
        <f t="shared" si="0"/>
        <v>4</v>
      </c>
      <c r="AH16" s="59">
        <f t="shared" si="0"/>
        <v>1</v>
      </c>
      <c r="AI16" s="59">
        <f t="shared" si="1"/>
        <v>0</v>
      </c>
      <c r="AJ16" s="59">
        <f t="shared" si="2"/>
        <v>0</v>
      </c>
      <c r="AK16" s="59">
        <f t="shared" si="3"/>
        <v>0</v>
      </c>
      <c r="AL16" s="59">
        <f t="shared" si="4"/>
        <v>0</v>
      </c>
      <c r="AM16" s="59">
        <f t="shared" si="5"/>
        <v>0</v>
      </c>
      <c r="AN16" s="90">
        <f t="shared" si="6"/>
        <v>1</v>
      </c>
      <c r="AO16" s="58">
        <f t="shared" si="7"/>
        <v>0</v>
      </c>
      <c r="AP16" s="59">
        <f t="shared" si="7"/>
        <v>0</v>
      </c>
      <c r="AQ16" s="59">
        <f t="shared" si="7"/>
        <v>0</v>
      </c>
      <c r="AR16" s="59">
        <f t="shared" si="7"/>
        <v>0</v>
      </c>
      <c r="AS16" s="59">
        <f t="shared" si="7"/>
        <v>1</v>
      </c>
      <c r="AT16" s="60">
        <f t="shared" si="7"/>
        <v>1</v>
      </c>
    </row>
    <row r="17" spans="1:46">
      <c r="A17" s="86" t="s">
        <v>44</v>
      </c>
      <c r="B17" s="87"/>
      <c r="C17" s="110"/>
      <c r="D17" s="54"/>
      <c r="E17" s="55"/>
      <c r="F17" s="55"/>
      <c r="G17" s="142" t="s">
        <v>132</v>
      </c>
      <c r="H17" s="142" t="s">
        <v>132</v>
      </c>
      <c r="I17" s="55" t="s">
        <v>99</v>
      </c>
      <c r="J17" s="164" t="s">
        <v>105</v>
      </c>
      <c r="K17" s="165" t="s">
        <v>106</v>
      </c>
      <c r="L17" s="55"/>
      <c r="M17" s="55"/>
      <c r="N17" s="142" t="s">
        <v>132</v>
      </c>
      <c r="O17" s="142" t="s">
        <v>132</v>
      </c>
      <c r="P17" s="55" t="s">
        <v>99</v>
      </c>
      <c r="Q17" s="57"/>
      <c r="R17" s="54"/>
      <c r="S17" s="55"/>
      <c r="T17" s="55"/>
      <c r="U17" s="55"/>
      <c r="V17" s="55"/>
      <c r="W17" s="55" t="s">
        <v>99</v>
      </c>
      <c r="X17" s="57"/>
      <c r="Y17" s="54"/>
      <c r="Z17" s="55"/>
      <c r="AA17" s="55"/>
      <c r="AB17" s="142" t="s">
        <v>132</v>
      </c>
      <c r="AC17" s="142" t="s">
        <v>132</v>
      </c>
      <c r="AD17" s="55" t="s">
        <v>99</v>
      </c>
      <c r="AE17" s="122"/>
      <c r="AF17" s="88">
        <f t="shared" si="8"/>
        <v>6</v>
      </c>
      <c r="AG17" s="89">
        <f t="shared" si="0"/>
        <v>4</v>
      </c>
      <c r="AH17" s="59">
        <f t="shared" si="0"/>
        <v>1</v>
      </c>
      <c r="AI17" s="59">
        <f t="shared" si="1"/>
        <v>0</v>
      </c>
      <c r="AJ17" s="59">
        <f t="shared" si="2"/>
        <v>0</v>
      </c>
      <c r="AK17" s="59">
        <f t="shared" si="3"/>
        <v>0</v>
      </c>
      <c r="AL17" s="59">
        <f t="shared" si="4"/>
        <v>0</v>
      </c>
      <c r="AM17" s="59">
        <f t="shared" si="5"/>
        <v>0</v>
      </c>
      <c r="AN17" s="90">
        <f t="shared" si="6"/>
        <v>1</v>
      </c>
      <c r="AO17" s="58">
        <f t="shared" si="7"/>
        <v>0</v>
      </c>
      <c r="AP17" s="59">
        <f t="shared" si="7"/>
        <v>0</v>
      </c>
      <c r="AQ17" s="59">
        <f t="shared" si="7"/>
        <v>0</v>
      </c>
      <c r="AR17" s="59">
        <f t="shared" si="7"/>
        <v>0</v>
      </c>
      <c r="AS17" s="59">
        <f t="shared" si="7"/>
        <v>0</v>
      </c>
      <c r="AT17" s="60">
        <f t="shared" si="7"/>
        <v>0</v>
      </c>
    </row>
    <row r="18" spans="1:46">
      <c r="A18" s="86" t="s">
        <v>45</v>
      </c>
      <c r="B18" s="87"/>
      <c r="C18" s="110"/>
      <c r="D18" s="143" t="s">
        <v>105</v>
      </c>
      <c r="E18" s="142" t="s">
        <v>130</v>
      </c>
      <c r="F18" s="55"/>
      <c r="G18" s="142" t="s">
        <v>129</v>
      </c>
      <c r="H18" s="55" t="s">
        <v>99</v>
      </c>
      <c r="I18" s="55"/>
      <c r="J18" s="122"/>
      <c r="K18" s="143" t="s">
        <v>105</v>
      </c>
      <c r="L18" s="142" t="s">
        <v>130</v>
      </c>
      <c r="M18" s="55"/>
      <c r="N18" s="55"/>
      <c r="O18" s="55" t="s">
        <v>99</v>
      </c>
      <c r="P18" s="55"/>
      <c r="Q18" s="57"/>
      <c r="R18" s="54"/>
      <c r="S18" s="55"/>
      <c r="T18" s="55"/>
      <c r="U18" s="55"/>
      <c r="V18" s="55" t="s">
        <v>99</v>
      </c>
      <c r="W18" s="55"/>
      <c r="X18" s="151" t="s">
        <v>105</v>
      </c>
      <c r="Y18" s="143" t="s">
        <v>106</v>
      </c>
      <c r="Z18" s="142" t="s">
        <v>105</v>
      </c>
      <c r="AA18" s="55"/>
      <c r="AB18" s="55"/>
      <c r="AC18" s="55" t="s">
        <v>99</v>
      </c>
      <c r="AD18" s="55"/>
      <c r="AE18" s="122"/>
      <c r="AF18" s="88">
        <f t="shared" si="8"/>
        <v>9</v>
      </c>
      <c r="AG18" s="89">
        <f t="shared" si="0"/>
        <v>4</v>
      </c>
      <c r="AH18" s="59">
        <f t="shared" si="0"/>
        <v>4</v>
      </c>
      <c r="AI18" s="59">
        <f t="shared" si="1"/>
        <v>0</v>
      </c>
      <c r="AJ18" s="59">
        <f t="shared" si="2"/>
        <v>0</v>
      </c>
      <c r="AK18" s="59">
        <f t="shared" si="3"/>
        <v>0</v>
      </c>
      <c r="AL18" s="59">
        <f t="shared" si="4"/>
        <v>0</v>
      </c>
      <c r="AM18" s="59">
        <f t="shared" si="5"/>
        <v>0</v>
      </c>
      <c r="AN18" s="90">
        <f t="shared" si="6"/>
        <v>1</v>
      </c>
      <c r="AO18" s="58">
        <f t="shared" si="7"/>
        <v>0</v>
      </c>
      <c r="AP18" s="59">
        <f t="shared" si="7"/>
        <v>0</v>
      </c>
      <c r="AQ18" s="59">
        <f t="shared" si="7"/>
        <v>0</v>
      </c>
      <c r="AR18" s="59">
        <f t="shared" si="7"/>
        <v>0</v>
      </c>
      <c r="AS18" s="59">
        <f t="shared" si="7"/>
        <v>0</v>
      </c>
      <c r="AT18" s="60">
        <f t="shared" si="7"/>
        <v>0</v>
      </c>
    </row>
    <row r="19" spans="1:46">
      <c r="A19" s="91" t="s">
        <v>87</v>
      </c>
      <c r="B19" s="87"/>
      <c r="C19" s="110" t="s">
        <v>122</v>
      </c>
      <c r="D19" s="142" t="s">
        <v>113</v>
      </c>
      <c r="E19" s="55" t="s">
        <v>99</v>
      </c>
      <c r="F19" s="55"/>
      <c r="G19" s="142" t="s">
        <v>132</v>
      </c>
      <c r="H19" s="142" t="s">
        <v>132</v>
      </c>
      <c r="I19" s="55"/>
      <c r="J19" s="122"/>
      <c r="K19" s="54"/>
      <c r="L19" s="55" t="s">
        <v>99</v>
      </c>
      <c r="M19" s="142" t="s">
        <v>113</v>
      </c>
      <c r="N19" s="142" t="s">
        <v>132</v>
      </c>
      <c r="O19" s="142" t="s">
        <v>132</v>
      </c>
      <c r="P19" s="55"/>
      <c r="Q19" s="57"/>
      <c r="R19" s="54"/>
      <c r="S19" s="55" t="s">
        <v>99</v>
      </c>
      <c r="T19" s="55"/>
      <c r="U19" s="55"/>
      <c r="V19" s="55"/>
      <c r="W19" s="55"/>
      <c r="X19" s="57"/>
      <c r="Y19" s="54"/>
      <c r="Z19" s="55" t="s">
        <v>99</v>
      </c>
      <c r="AA19" s="55"/>
      <c r="AB19" s="142" t="s">
        <v>132</v>
      </c>
      <c r="AC19" s="142" t="s">
        <v>132</v>
      </c>
      <c r="AD19" s="55"/>
      <c r="AE19" s="122"/>
      <c r="AF19" s="88">
        <f t="shared" si="8"/>
        <v>6</v>
      </c>
      <c r="AG19" s="89">
        <f t="shared" si="0"/>
        <v>4</v>
      </c>
      <c r="AH19" s="59">
        <f t="shared" si="0"/>
        <v>2</v>
      </c>
      <c r="AI19" s="59">
        <f t="shared" si="1"/>
        <v>0</v>
      </c>
      <c r="AJ19" s="59">
        <f t="shared" si="2"/>
        <v>0</v>
      </c>
      <c r="AK19" s="59">
        <f t="shared" si="3"/>
        <v>0</v>
      </c>
      <c r="AL19" s="59">
        <f t="shared" si="4"/>
        <v>0</v>
      </c>
      <c r="AM19" s="59">
        <f t="shared" si="5"/>
        <v>0</v>
      </c>
      <c r="AN19" s="90">
        <f t="shared" si="6"/>
        <v>0</v>
      </c>
      <c r="AO19" s="58">
        <f t="shared" si="7"/>
        <v>0</v>
      </c>
      <c r="AP19" s="59">
        <f t="shared" si="7"/>
        <v>0</v>
      </c>
      <c r="AQ19" s="59">
        <f t="shared" si="7"/>
        <v>0</v>
      </c>
      <c r="AR19" s="59">
        <f t="shared" si="7"/>
        <v>0</v>
      </c>
      <c r="AS19" s="59">
        <f t="shared" si="7"/>
        <v>0</v>
      </c>
      <c r="AT19" s="60">
        <f t="shared" si="7"/>
        <v>0</v>
      </c>
    </row>
    <row r="20" spans="1:46">
      <c r="A20" s="92" t="s">
        <v>46</v>
      </c>
      <c r="B20" s="93"/>
      <c r="C20" s="111"/>
      <c r="D20" s="54"/>
      <c r="E20" s="55"/>
      <c r="F20" s="55" t="s">
        <v>99</v>
      </c>
      <c r="G20" s="55"/>
      <c r="H20" s="55"/>
      <c r="I20" s="55"/>
      <c r="J20" s="122"/>
      <c r="K20" s="54"/>
      <c r="L20" s="142" t="s">
        <v>103</v>
      </c>
      <c r="M20" s="55" t="s">
        <v>99</v>
      </c>
      <c r="N20" s="142" t="s">
        <v>114</v>
      </c>
      <c r="O20" s="55"/>
      <c r="P20" s="55"/>
      <c r="Q20" s="57"/>
      <c r="R20" s="54"/>
      <c r="S20" s="55"/>
      <c r="T20" s="55" t="s">
        <v>99</v>
      </c>
      <c r="U20" s="55"/>
      <c r="V20" s="55" t="s">
        <v>140</v>
      </c>
      <c r="W20" s="55"/>
      <c r="X20" s="57"/>
      <c r="Y20" s="54"/>
      <c r="Z20" s="55"/>
      <c r="AA20" s="55" t="s">
        <v>99</v>
      </c>
      <c r="AB20" s="55"/>
      <c r="AC20" s="55"/>
      <c r="AD20" s="55"/>
      <c r="AE20" s="147" t="s">
        <v>106</v>
      </c>
      <c r="AF20" s="88">
        <f t="shared" si="8"/>
        <v>5</v>
      </c>
      <c r="AG20" s="89">
        <f t="shared" si="0"/>
        <v>4</v>
      </c>
      <c r="AH20" s="59">
        <f t="shared" si="0"/>
        <v>0</v>
      </c>
      <c r="AI20" s="59">
        <f t="shared" si="1"/>
        <v>0</v>
      </c>
      <c r="AJ20" s="59">
        <f t="shared" si="2"/>
        <v>0</v>
      </c>
      <c r="AK20" s="59">
        <f t="shared" si="3"/>
        <v>0</v>
      </c>
      <c r="AL20" s="59">
        <f t="shared" si="4"/>
        <v>0</v>
      </c>
      <c r="AM20" s="59">
        <f t="shared" si="5"/>
        <v>0</v>
      </c>
      <c r="AN20" s="90">
        <f t="shared" si="6"/>
        <v>1</v>
      </c>
      <c r="AO20" s="58">
        <f t="shared" si="7"/>
        <v>0</v>
      </c>
      <c r="AP20" s="59">
        <f t="shared" si="7"/>
        <v>0</v>
      </c>
      <c r="AQ20" s="59">
        <f t="shared" si="7"/>
        <v>0</v>
      </c>
      <c r="AR20" s="59">
        <f t="shared" si="7"/>
        <v>1</v>
      </c>
      <c r="AS20" s="59">
        <f t="shared" si="7"/>
        <v>0</v>
      </c>
      <c r="AT20" s="60">
        <f t="shared" si="7"/>
        <v>1</v>
      </c>
    </row>
    <row r="21" spans="1:46">
      <c r="A21" s="92" t="s">
        <v>96</v>
      </c>
      <c r="B21" s="93"/>
      <c r="C21" s="111"/>
      <c r="D21" s="54" t="s">
        <v>99</v>
      </c>
      <c r="E21" s="55"/>
      <c r="F21" s="55"/>
      <c r="G21" s="55"/>
      <c r="H21" s="55"/>
      <c r="I21" s="55"/>
      <c r="J21" s="122"/>
      <c r="K21" s="54" t="s">
        <v>99</v>
      </c>
      <c r="L21" s="55"/>
      <c r="M21" s="55"/>
      <c r="N21" s="55"/>
      <c r="O21" s="55"/>
      <c r="P21" s="55"/>
      <c r="Q21" s="57"/>
      <c r="R21" s="54" t="s">
        <v>99</v>
      </c>
      <c r="S21" s="55"/>
      <c r="T21" s="142" t="s">
        <v>103</v>
      </c>
      <c r="U21" s="142" t="s">
        <v>114</v>
      </c>
      <c r="V21" s="55"/>
      <c r="W21" s="142" t="s">
        <v>105</v>
      </c>
      <c r="X21" s="151" t="s">
        <v>105</v>
      </c>
      <c r="Y21" s="54" t="s">
        <v>99</v>
      </c>
      <c r="Z21" s="142" t="s">
        <v>106</v>
      </c>
      <c r="AA21" s="142" t="s">
        <v>114</v>
      </c>
      <c r="AB21" s="55"/>
      <c r="AC21" s="55"/>
      <c r="AD21" s="55"/>
      <c r="AE21" s="122"/>
      <c r="AF21" s="88">
        <f t="shared" si="8"/>
        <v>7</v>
      </c>
      <c r="AG21" s="89">
        <f t="shared" si="0"/>
        <v>4</v>
      </c>
      <c r="AH21" s="59">
        <f t="shared" si="0"/>
        <v>2</v>
      </c>
      <c r="AI21" s="59">
        <f t="shared" si="1"/>
        <v>0</v>
      </c>
      <c r="AJ21" s="59">
        <f t="shared" si="2"/>
        <v>0</v>
      </c>
      <c r="AK21" s="59">
        <f t="shared" si="3"/>
        <v>0</v>
      </c>
      <c r="AL21" s="59">
        <f t="shared" si="4"/>
        <v>0</v>
      </c>
      <c r="AM21" s="59">
        <f t="shared" si="5"/>
        <v>0</v>
      </c>
      <c r="AN21" s="90">
        <f t="shared" si="6"/>
        <v>1</v>
      </c>
      <c r="AO21" s="58">
        <f t="shared" si="7"/>
        <v>0</v>
      </c>
      <c r="AP21" s="59">
        <f t="shared" si="7"/>
        <v>0</v>
      </c>
      <c r="AQ21" s="59">
        <f t="shared" si="7"/>
        <v>0</v>
      </c>
      <c r="AR21" s="59">
        <f t="shared" si="7"/>
        <v>1</v>
      </c>
      <c r="AS21" s="59">
        <f t="shared" si="7"/>
        <v>0</v>
      </c>
      <c r="AT21" s="60">
        <f t="shared" si="7"/>
        <v>2</v>
      </c>
    </row>
    <row r="22" spans="1:46">
      <c r="A22" s="92" t="s">
        <v>97</v>
      </c>
      <c r="B22" s="93"/>
      <c r="C22" s="111"/>
      <c r="D22" s="159"/>
      <c r="E22" s="55"/>
      <c r="F22" s="142" t="s">
        <v>103</v>
      </c>
      <c r="G22" s="55" t="s">
        <v>99</v>
      </c>
      <c r="H22" s="142" t="s">
        <v>105</v>
      </c>
      <c r="I22" s="127"/>
      <c r="J22" s="122"/>
      <c r="K22" s="54"/>
      <c r="L22" s="142" t="s">
        <v>103</v>
      </c>
      <c r="M22" s="142" t="s">
        <v>103</v>
      </c>
      <c r="N22" s="55" t="s">
        <v>99</v>
      </c>
      <c r="O22" s="142" t="s">
        <v>105</v>
      </c>
      <c r="P22" s="127"/>
      <c r="Q22" s="57"/>
      <c r="R22" s="54"/>
      <c r="S22" s="55"/>
      <c r="T22" s="55"/>
      <c r="U22" s="55" t="s">
        <v>99</v>
      </c>
      <c r="V22" s="55"/>
      <c r="W22" s="127"/>
      <c r="X22" s="151" t="s">
        <v>127</v>
      </c>
      <c r="Y22" s="143" t="s">
        <v>105</v>
      </c>
      <c r="Z22" s="142" t="s">
        <v>106</v>
      </c>
      <c r="AA22" s="142" t="s">
        <v>141</v>
      </c>
      <c r="AB22" s="55" t="s">
        <v>99</v>
      </c>
      <c r="AC22" s="55"/>
      <c r="AD22" s="127"/>
      <c r="AE22" s="122"/>
      <c r="AF22" s="88">
        <f t="shared" si="8"/>
        <v>9</v>
      </c>
      <c r="AG22" s="89">
        <f t="shared" si="0"/>
        <v>4</v>
      </c>
      <c r="AH22" s="59">
        <f t="shared" si="0"/>
        <v>3</v>
      </c>
      <c r="AI22" s="59">
        <f t="shared" si="1"/>
        <v>0</v>
      </c>
      <c r="AJ22" s="59">
        <f t="shared" si="2"/>
        <v>1</v>
      </c>
      <c r="AK22" s="59">
        <f t="shared" si="3"/>
        <v>0</v>
      </c>
      <c r="AL22" s="59">
        <f t="shared" si="4"/>
        <v>0</v>
      </c>
      <c r="AM22" s="59">
        <f t="shared" si="5"/>
        <v>0</v>
      </c>
      <c r="AN22" s="90">
        <f t="shared" si="6"/>
        <v>1</v>
      </c>
      <c r="AO22" s="58">
        <f t="shared" si="7"/>
        <v>0</v>
      </c>
      <c r="AP22" s="59">
        <f t="shared" si="7"/>
        <v>0</v>
      </c>
      <c r="AQ22" s="59">
        <f t="shared" si="7"/>
        <v>0</v>
      </c>
      <c r="AR22" s="59">
        <f t="shared" si="7"/>
        <v>3</v>
      </c>
      <c r="AS22" s="59">
        <f t="shared" si="7"/>
        <v>0</v>
      </c>
      <c r="AT22" s="60">
        <f t="shared" si="7"/>
        <v>0</v>
      </c>
    </row>
    <row r="23" spans="1:46">
      <c r="A23" s="92" t="s">
        <v>98</v>
      </c>
      <c r="B23" s="93">
        <v>1</v>
      </c>
      <c r="C23" s="158" t="s">
        <v>131</v>
      </c>
      <c r="D23" s="54"/>
      <c r="E23" s="55"/>
      <c r="F23" s="55"/>
      <c r="G23" s="55"/>
      <c r="H23" s="55" t="s">
        <v>99</v>
      </c>
      <c r="I23" s="55"/>
      <c r="J23" s="122"/>
      <c r="K23" s="54"/>
      <c r="L23" s="142" t="s">
        <v>105</v>
      </c>
      <c r="M23" s="142" t="s">
        <v>132</v>
      </c>
      <c r="N23" s="55"/>
      <c r="O23" s="55" t="s">
        <v>99</v>
      </c>
      <c r="P23" s="55"/>
      <c r="Q23" s="57"/>
      <c r="R23" s="54"/>
      <c r="S23" s="55"/>
      <c r="T23" s="55"/>
      <c r="U23" s="55"/>
      <c r="V23" s="55" t="s">
        <v>99</v>
      </c>
      <c r="W23" s="55"/>
      <c r="X23" s="57"/>
      <c r="Y23" s="54"/>
      <c r="Z23" s="55"/>
      <c r="AA23" s="55"/>
      <c r="AB23" s="55"/>
      <c r="AC23" s="55" t="s">
        <v>99</v>
      </c>
      <c r="AD23" s="55"/>
      <c r="AE23" s="122"/>
      <c r="AF23" s="88">
        <f t="shared" si="8"/>
        <v>5</v>
      </c>
      <c r="AG23" s="89">
        <f t="shared" si="0"/>
        <v>4</v>
      </c>
      <c r="AH23" s="59">
        <f t="shared" si="0"/>
        <v>1</v>
      </c>
      <c r="AI23" s="59">
        <f t="shared" si="1"/>
        <v>0</v>
      </c>
      <c r="AJ23" s="59">
        <f t="shared" si="2"/>
        <v>0</v>
      </c>
      <c r="AK23" s="59">
        <f t="shared" si="3"/>
        <v>0</v>
      </c>
      <c r="AL23" s="59">
        <f t="shared" si="4"/>
        <v>0</v>
      </c>
      <c r="AM23" s="59">
        <f t="shared" si="5"/>
        <v>0</v>
      </c>
      <c r="AN23" s="90">
        <f t="shared" si="6"/>
        <v>0</v>
      </c>
      <c r="AO23" s="58">
        <f t="shared" si="7"/>
        <v>0</v>
      </c>
      <c r="AP23" s="59">
        <f t="shared" si="7"/>
        <v>0</v>
      </c>
      <c r="AQ23" s="59">
        <f t="shared" si="7"/>
        <v>0</v>
      </c>
      <c r="AR23" s="59">
        <f t="shared" si="7"/>
        <v>0</v>
      </c>
      <c r="AS23" s="59">
        <f t="shared" si="7"/>
        <v>0</v>
      </c>
      <c r="AT23" s="60">
        <f t="shared" si="7"/>
        <v>0</v>
      </c>
    </row>
    <row r="24" spans="1:46">
      <c r="A24" s="94" t="s">
        <v>47</v>
      </c>
      <c r="B24" s="93"/>
      <c r="C24" s="111"/>
      <c r="D24" s="54" t="s">
        <v>99</v>
      </c>
      <c r="E24" s="55"/>
      <c r="F24" s="142" t="s">
        <v>103</v>
      </c>
      <c r="G24" s="142" t="s">
        <v>105</v>
      </c>
      <c r="H24" s="55"/>
      <c r="I24" s="55"/>
      <c r="J24" s="122"/>
      <c r="K24" s="54" t="s">
        <v>99</v>
      </c>
      <c r="L24" s="142" t="s">
        <v>132</v>
      </c>
      <c r="M24" s="55"/>
      <c r="N24" s="55"/>
      <c r="O24" s="55"/>
      <c r="P24" s="55"/>
      <c r="Q24" s="57"/>
      <c r="R24" s="54" t="s">
        <v>99</v>
      </c>
      <c r="S24" s="55"/>
      <c r="T24" s="55"/>
      <c r="U24" s="55"/>
      <c r="V24" s="55"/>
      <c r="W24" s="55"/>
      <c r="X24" s="151" t="s">
        <v>127</v>
      </c>
      <c r="Y24" s="54" t="s">
        <v>99</v>
      </c>
      <c r="Z24" s="142" t="s">
        <v>106</v>
      </c>
      <c r="AA24" s="142" t="s">
        <v>105</v>
      </c>
      <c r="AB24" s="142" t="s">
        <v>117</v>
      </c>
      <c r="AC24" s="55"/>
      <c r="AD24" s="55"/>
      <c r="AE24" s="122"/>
      <c r="AF24" s="88">
        <f t="shared" si="8"/>
        <v>8</v>
      </c>
      <c r="AG24" s="89">
        <f t="shared" si="0"/>
        <v>4</v>
      </c>
      <c r="AH24" s="59">
        <f t="shared" si="0"/>
        <v>2</v>
      </c>
      <c r="AI24" s="59">
        <f t="shared" si="1"/>
        <v>0</v>
      </c>
      <c r="AJ24" s="59">
        <f t="shared" si="2"/>
        <v>0</v>
      </c>
      <c r="AK24" s="59">
        <f t="shared" si="3"/>
        <v>0</v>
      </c>
      <c r="AL24" s="59">
        <f t="shared" si="4"/>
        <v>0</v>
      </c>
      <c r="AM24" s="59">
        <f t="shared" si="5"/>
        <v>1</v>
      </c>
      <c r="AN24" s="90">
        <f t="shared" si="6"/>
        <v>1</v>
      </c>
      <c r="AO24" s="58">
        <f t="shared" ref="AO24:AT40" si="9">COUNTIF($D24:$AE24,AO$5)</f>
        <v>0</v>
      </c>
      <c r="AP24" s="59">
        <f t="shared" si="9"/>
        <v>0</v>
      </c>
      <c r="AQ24" s="59">
        <f t="shared" si="9"/>
        <v>0</v>
      </c>
      <c r="AR24" s="59">
        <f t="shared" si="9"/>
        <v>1</v>
      </c>
      <c r="AS24" s="59">
        <f t="shared" si="9"/>
        <v>0</v>
      </c>
      <c r="AT24" s="60">
        <f t="shared" si="9"/>
        <v>0</v>
      </c>
    </row>
    <row r="25" spans="1:46">
      <c r="A25" s="92" t="s">
        <v>48</v>
      </c>
      <c r="B25" s="93"/>
      <c r="C25" s="111"/>
      <c r="D25" s="143" t="s">
        <v>105</v>
      </c>
      <c r="E25" s="55"/>
      <c r="F25" s="142" t="s">
        <v>103</v>
      </c>
      <c r="G25" s="142" t="s">
        <v>106</v>
      </c>
      <c r="H25" s="55"/>
      <c r="I25" s="55" t="s">
        <v>99</v>
      </c>
      <c r="J25" s="122"/>
      <c r="K25" s="54"/>
      <c r="L25" s="55"/>
      <c r="M25" s="142" t="s">
        <v>103</v>
      </c>
      <c r="N25" s="142" t="s">
        <v>114</v>
      </c>
      <c r="O25" s="142" t="s">
        <v>105</v>
      </c>
      <c r="P25" s="55" t="s">
        <v>99</v>
      </c>
      <c r="Q25" s="57"/>
      <c r="R25" s="54"/>
      <c r="S25" s="55"/>
      <c r="T25" s="127"/>
      <c r="U25" s="55"/>
      <c r="V25" s="142" t="s">
        <v>105</v>
      </c>
      <c r="W25" s="55" t="s">
        <v>99</v>
      </c>
      <c r="X25" s="57"/>
      <c r="Y25" s="54"/>
      <c r="Z25" s="55"/>
      <c r="AA25" s="127"/>
      <c r="AB25" s="142" t="s">
        <v>148</v>
      </c>
      <c r="AC25" s="142" t="s">
        <v>134</v>
      </c>
      <c r="AD25" s="55" t="s">
        <v>99</v>
      </c>
      <c r="AE25" s="147" t="s">
        <v>105</v>
      </c>
      <c r="AF25" s="88">
        <f t="shared" si="8"/>
        <v>10</v>
      </c>
      <c r="AG25" s="89">
        <f t="shared" si="0"/>
        <v>4</v>
      </c>
      <c r="AH25" s="59">
        <f t="shared" si="0"/>
        <v>4</v>
      </c>
      <c r="AI25" s="59">
        <f t="shared" si="1"/>
        <v>0</v>
      </c>
      <c r="AJ25" s="59">
        <f t="shared" si="2"/>
        <v>1</v>
      </c>
      <c r="AK25" s="59">
        <f t="shared" si="3"/>
        <v>0</v>
      </c>
      <c r="AL25" s="59">
        <f t="shared" si="4"/>
        <v>0</v>
      </c>
      <c r="AM25" s="59">
        <f t="shared" si="5"/>
        <v>0</v>
      </c>
      <c r="AN25" s="90">
        <f t="shared" si="6"/>
        <v>1</v>
      </c>
      <c r="AO25" s="58">
        <f t="shared" si="9"/>
        <v>0</v>
      </c>
      <c r="AP25" s="59">
        <f t="shared" si="9"/>
        <v>0</v>
      </c>
      <c r="AQ25" s="59">
        <f t="shared" si="9"/>
        <v>0</v>
      </c>
      <c r="AR25" s="59">
        <f t="shared" si="9"/>
        <v>2</v>
      </c>
      <c r="AS25" s="59">
        <f t="shared" si="9"/>
        <v>0</v>
      </c>
      <c r="AT25" s="60">
        <f t="shared" si="9"/>
        <v>1</v>
      </c>
    </row>
    <row r="26" spans="1:46">
      <c r="A26" s="92" t="s">
        <v>88</v>
      </c>
      <c r="B26" s="93"/>
      <c r="C26" s="111"/>
      <c r="D26" s="54"/>
      <c r="E26" s="55" t="s">
        <v>99</v>
      </c>
      <c r="F26" s="142" t="s">
        <v>106</v>
      </c>
      <c r="G26" s="142" t="s">
        <v>105</v>
      </c>
      <c r="H26" s="55"/>
      <c r="I26" s="55"/>
      <c r="J26" s="122"/>
      <c r="K26" s="54"/>
      <c r="L26" s="55" t="s">
        <v>99</v>
      </c>
      <c r="M26" s="55"/>
      <c r="N26" s="55"/>
      <c r="O26" s="142" t="s">
        <v>133</v>
      </c>
      <c r="P26" s="55"/>
      <c r="Q26" s="57"/>
      <c r="R26" s="54"/>
      <c r="S26" s="55" t="s">
        <v>99</v>
      </c>
      <c r="T26" s="55"/>
      <c r="U26" s="55"/>
      <c r="V26" s="55"/>
      <c r="W26" s="55"/>
      <c r="X26" s="57"/>
      <c r="Y26" s="54"/>
      <c r="Z26" s="55" t="s">
        <v>99</v>
      </c>
      <c r="AA26" s="55"/>
      <c r="AB26" s="55"/>
      <c r="AC26" s="55"/>
      <c r="AD26" s="55"/>
      <c r="AE26" s="122"/>
      <c r="AF26" s="88">
        <f t="shared" si="8"/>
        <v>6</v>
      </c>
      <c r="AG26" s="89">
        <f t="shared" si="0"/>
        <v>4</v>
      </c>
      <c r="AH26" s="59">
        <f t="shared" si="0"/>
        <v>1</v>
      </c>
      <c r="AI26" s="59">
        <f t="shared" si="1"/>
        <v>0</v>
      </c>
      <c r="AJ26" s="59">
        <f t="shared" si="2"/>
        <v>0</v>
      </c>
      <c r="AK26" s="59">
        <f t="shared" si="3"/>
        <v>0</v>
      </c>
      <c r="AL26" s="59">
        <f t="shared" si="4"/>
        <v>0</v>
      </c>
      <c r="AM26" s="59">
        <f t="shared" si="5"/>
        <v>0</v>
      </c>
      <c r="AN26" s="90">
        <f t="shared" si="6"/>
        <v>1</v>
      </c>
      <c r="AO26" s="58">
        <f t="shared" si="9"/>
        <v>0</v>
      </c>
      <c r="AP26" s="59">
        <f t="shared" si="9"/>
        <v>1</v>
      </c>
      <c r="AQ26" s="59">
        <f t="shared" si="9"/>
        <v>0</v>
      </c>
      <c r="AR26" s="59">
        <f t="shared" si="9"/>
        <v>0</v>
      </c>
      <c r="AS26" s="59">
        <f t="shared" si="9"/>
        <v>0</v>
      </c>
      <c r="AT26" s="60">
        <f t="shared" si="9"/>
        <v>0</v>
      </c>
    </row>
    <row r="27" spans="1:46">
      <c r="A27" s="92" t="s">
        <v>123</v>
      </c>
      <c r="B27" s="93"/>
      <c r="C27" s="111"/>
      <c r="D27" s="54"/>
      <c r="E27" s="55"/>
      <c r="F27" s="55" t="s">
        <v>99</v>
      </c>
      <c r="G27" s="55"/>
      <c r="H27" s="55"/>
      <c r="I27" s="127"/>
      <c r="J27" s="122"/>
      <c r="K27" s="54"/>
      <c r="L27" s="55"/>
      <c r="M27" s="55" t="s">
        <v>99</v>
      </c>
      <c r="N27" s="55"/>
      <c r="O27" s="55"/>
      <c r="P27" s="127"/>
      <c r="Q27" s="57"/>
      <c r="R27" s="54"/>
      <c r="S27" s="55"/>
      <c r="T27" s="55" t="s">
        <v>99</v>
      </c>
      <c r="U27" s="142" t="s">
        <v>143</v>
      </c>
      <c r="V27" s="142" t="s">
        <v>105</v>
      </c>
      <c r="W27" s="127"/>
      <c r="X27" s="57"/>
      <c r="Y27" s="54"/>
      <c r="Z27" s="55"/>
      <c r="AA27" s="55" t="s">
        <v>99</v>
      </c>
      <c r="AB27" s="55"/>
      <c r="AC27" s="55"/>
      <c r="AD27" s="127"/>
      <c r="AE27" s="122"/>
      <c r="AF27" s="88">
        <f t="shared" ref="AF27" si="10">SUM(AG27:AN27)</f>
        <v>5</v>
      </c>
      <c r="AG27" s="89">
        <f t="shared" si="0"/>
        <v>4</v>
      </c>
      <c r="AH27" s="59">
        <f t="shared" si="0"/>
        <v>1</v>
      </c>
      <c r="AI27" s="59">
        <f t="shared" si="1"/>
        <v>0</v>
      </c>
      <c r="AJ27" s="59">
        <f t="shared" si="2"/>
        <v>0</v>
      </c>
      <c r="AK27" s="59">
        <f t="shared" si="3"/>
        <v>0</v>
      </c>
      <c r="AL27" s="59">
        <f t="shared" si="4"/>
        <v>0</v>
      </c>
      <c r="AM27" s="59">
        <f t="shared" si="5"/>
        <v>0</v>
      </c>
      <c r="AN27" s="90">
        <f t="shared" si="6"/>
        <v>0</v>
      </c>
      <c r="AO27" s="58">
        <f t="shared" si="9"/>
        <v>0</v>
      </c>
      <c r="AP27" s="59">
        <f t="shared" si="9"/>
        <v>0</v>
      </c>
      <c r="AQ27" s="59">
        <f t="shared" si="9"/>
        <v>0</v>
      </c>
      <c r="AR27" s="59">
        <f t="shared" si="9"/>
        <v>0</v>
      </c>
      <c r="AS27" s="59">
        <f t="shared" si="9"/>
        <v>0</v>
      </c>
      <c r="AT27" s="60">
        <f t="shared" si="9"/>
        <v>0</v>
      </c>
    </row>
    <row r="28" spans="1:46">
      <c r="A28" s="94" t="s">
        <v>49</v>
      </c>
      <c r="B28" s="93"/>
      <c r="C28" s="111"/>
      <c r="D28" s="54"/>
      <c r="E28" s="55"/>
      <c r="F28" s="55"/>
      <c r="G28" s="55" t="s">
        <v>99</v>
      </c>
      <c r="H28" s="55"/>
      <c r="I28" s="55"/>
      <c r="J28" s="147" t="s">
        <v>127</v>
      </c>
      <c r="K28" s="143" t="s">
        <v>105</v>
      </c>
      <c r="L28" s="142" t="s">
        <v>143</v>
      </c>
      <c r="M28" s="142" t="s">
        <v>144</v>
      </c>
      <c r="N28" s="142" t="s">
        <v>99</v>
      </c>
      <c r="O28" s="142" t="s">
        <v>133</v>
      </c>
      <c r="P28" s="55"/>
      <c r="Q28" s="57"/>
      <c r="R28" s="54"/>
      <c r="S28" s="55"/>
      <c r="T28" s="55"/>
      <c r="U28" s="55" t="s">
        <v>99</v>
      </c>
      <c r="V28" s="55"/>
      <c r="W28" s="142" t="s">
        <v>127</v>
      </c>
      <c r="X28" s="151" t="s">
        <v>105</v>
      </c>
      <c r="Y28" s="143" t="s">
        <v>132</v>
      </c>
      <c r="Z28" s="55"/>
      <c r="AA28" s="55"/>
      <c r="AB28" s="55" t="s">
        <v>99</v>
      </c>
      <c r="AC28" s="55"/>
      <c r="AD28" s="55"/>
      <c r="AE28" s="122"/>
      <c r="AF28" s="88">
        <f t="shared" si="8"/>
        <v>7</v>
      </c>
      <c r="AG28" s="89">
        <f t="shared" si="0"/>
        <v>4</v>
      </c>
      <c r="AH28" s="59">
        <f t="shared" si="0"/>
        <v>2</v>
      </c>
      <c r="AI28" s="59">
        <f t="shared" si="1"/>
        <v>0</v>
      </c>
      <c r="AJ28" s="59">
        <f t="shared" si="2"/>
        <v>1</v>
      </c>
      <c r="AK28" s="59">
        <f t="shared" si="3"/>
        <v>0</v>
      </c>
      <c r="AL28" s="59">
        <f t="shared" si="4"/>
        <v>0</v>
      </c>
      <c r="AM28" s="59">
        <f t="shared" si="5"/>
        <v>0</v>
      </c>
      <c r="AN28" s="90">
        <f t="shared" si="6"/>
        <v>0</v>
      </c>
      <c r="AO28" s="58">
        <f t="shared" si="9"/>
        <v>0</v>
      </c>
      <c r="AP28" s="59">
        <f t="shared" si="9"/>
        <v>1</v>
      </c>
      <c r="AQ28" s="59">
        <f t="shared" si="9"/>
        <v>0</v>
      </c>
      <c r="AR28" s="59">
        <f t="shared" si="9"/>
        <v>0</v>
      </c>
      <c r="AS28" s="59">
        <f t="shared" si="9"/>
        <v>0</v>
      </c>
      <c r="AT28" s="60">
        <f t="shared" si="9"/>
        <v>0</v>
      </c>
    </row>
    <row r="29" spans="1:46" ht="17.25" thickBot="1">
      <c r="A29" s="95" t="s">
        <v>50</v>
      </c>
      <c r="B29" s="96"/>
      <c r="C29" s="112"/>
      <c r="D29" s="70"/>
      <c r="E29" s="71"/>
      <c r="F29" s="71" t="s">
        <v>99</v>
      </c>
      <c r="G29" s="71"/>
      <c r="H29" s="71"/>
      <c r="I29" s="71"/>
      <c r="J29" s="134"/>
      <c r="K29" s="70"/>
      <c r="L29" s="71"/>
      <c r="M29" s="71" t="s">
        <v>99</v>
      </c>
      <c r="N29" s="71"/>
      <c r="O29" s="169" t="s">
        <v>133</v>
      </c>
      <c r="P29" s="71"/>
      <c r="Q29" s="97"/>
      <c r="R29" s="70"/>
      <c r="S29" s="71"/>
      <c r="T29" s="71" t="s">
        <v>99</v>
      </c>
      <c r="U29" s="71"/>
      <c r="V29" s="71"/>
      <c r="W29" s="71"/>
      <c r="X29" s="97"/>
      <c r="Y29" s="168" t="s">
        <v>106</v>
      </c>
      <c r="Z29" s="169" t="s">
        <v>105</v>
      </c>
      <c r="AA29" s="71" t="s">
        <v>99</v>
      </c>
      <c r="AB29" s="169" t="s">
        <v>117</v>
      </c>
      <c r="AC29" s="169" t="s">
        <v>114</v>
      </c>
      <c r="AD29" s="71"/>
      <c r="AE29" s="134"/>
      <c r="AF29" s="98">
        <f t="shared" si="8"/>
        <v>7</v>
      </c>
      <c r="AG29" s="101">
        <f t="shared" ref="AG29:AH43" si="11">COUNTIF($D29:$AE29,AG$5)</f>
        <v>4</v>
      </c>
      <c r="AH29" s="99">
        <f t="shared" si="11"/>
        <v>1</v>
      </c>
      <c r="AI29" s="99">
        <f t="shared" si="1"/>
        <v>0</v>
      </c>
      <c r="AJ29" s="99">
        <f t="shared" si="2"/>
        <v>0</v>
      </c>
      <c r="AK29" s="99">
        <f t="shared" si="3"/>
        <v>0</v>
      </c>
      <c r="AL29" s="99">
        <f t="shared" si="4"/>
        <v>0</v>
      </c>
      <c r="AM29" s="99">
        <f t="shared" si="5"/>
        <v>1</v>
      </c>
      <c r="AN29" s="100">
        <f t="shared" si="6"/>
        <v>1</v>
      </c>
      <c r="AO29" s="101">
        <f t="shared" si="9"/>
        <v>0</v>
      </c>
      <c r="AP29" s="99">
        <f t="shared" si="9"/>
        <v>1</v>
      </c>
      <c r="AQ29" s="99">
        <f t="shared" si="9"/>
        <v>0</v>
      </c>
      <c r="AR29" s="99">
        <f t="shared" si="9"/>
        <v>0</v>
      </c>
      <c r="AS29" s="99">
        <f t="shared" si="9"/>
        <v>0</v>
      </c>
      <c r="AT29" s="102">
        <f t="shared" si="9"/>
        <v>1</v>
      </c>
    </row>
    <row r="30" spans="1:46">
      <c r="A30" s="92" t="s">
        <v>89</v>
      </c>
      <c r="B30" s="103"/>
      <c r="C30" s="113"/>
      <c r="D30" s="128"/>
      <c r="E30" s="129"/>
      <c r="F30" s="162" t="s">
        <v>105</v>
      </c>
      <c r="G30" s="130"/>
      <c r="H30" s="129"/>
      <c r="I30" s="129" t="s">
        <v>99</v>
      </c>
      <c r="J30" s="160" t="s">
        <v>106</v>
      </c>
      <c r="K30" s="161" t="s">
        <v>105</v>
      </c>
      <c r="L30" s="162" t="s">
        <v>132</v>
      </c>
      <c r="M30" s="129"/>
      <c r="N30" s="130"/>
      <c r="O30" s="129"/>
      <c r="P30" s="129" t="s">
        <v>99</v>
      </c>
      <c r="Q30" s="131"/>
      <c r="R30" s="128"/>
      <c r="S30" s="129"/>
      <c r="T30" s="129"/>
      <c r="U30" s="130"/>
      <c r="V30" s="129"/>
      <c r="W30" s="129" t="s">
        <v>99</v>
      </c>
      <c r="X30" s="131"/>
      <c r="Y30" s="128"/>
      <c r="Z30" s="129"/>
      <c r="AA30" s="129"/>
      <c r="AB30" s="130"/>
      <c r="AC30" s="129"/>
      <c r="AD30" s="129" t="s">
        <v>99</v>
      </c>
      <c r="AE30" s="135"/>
      <c r="AF30" s="138">
        <f t="shared" si="8"/>
        <v>7</v>
      </c>
      <c r="AG30" s="152">
        <f t="shared" si="11"/>
        <v>4</v>
      </c>
      <c r="AH30" s="153">
        <f t="shared" si="11"/>
        <v>2</v>
      </c>
      <c r="AI30" s="153">
        <f t="shared" si="1"/>
        <v>0</v>
      </c>
      <c r="AJ30" s="153">
        <f t="shared" si="2"/>
        <v>0</v>
      </c>
      <c r="AK30" s="153">
        <f t="shared" si="3"/>
        <v>0</v>
      </c>
      <c r="AL30" s="153">
        <f t="shared" si="4"/>
        <v>0</v>
      </c>
      <c r="AM30" s="153">
        <f t="shared" si="5"/>
        <v>0</v>
      </c>
      <c r="AN30" s="154">
        <f t="shared" si="6"/>
        <v>1</v>
      </c>
      <c r="AO30" s="155">
        <f t="shared" si="9"/>
        <v>0</v>
      </c>
      <c r="AP30" s="153">
        <f t="shared" si="9"/>
        <v>0</v>
      </c>
      <c r="AQ30" s="153">
        <f t="shared" si="9"/>
        <v>0</v>
      </c>
      <c r="AR30" s="153">
        <f t="shared" si="9"/>
        <v>0</v>
      </c>
      <c r="AS30" s="153">
        <f t="shared" si="9"/>
        <v>0</v>
      </c>
      <c r="AT30" s="156">
        <f t="shared" si="9"/>
        <v>0</v>
      </c>
    </row>
    <row r="31" spans="1:46">
      <c r="A31" s="92" t="s">
        <v>90</v>
      </c>
      <c r="B31" s="93">
        <v>1</v>
      </c>
      <c r="C31" s="114"/>
      <c r="D31" s="54"/>
      <c r="E31" s="55"/>
      <c r="F31" s="55" t="s">
        <v>99</v>
      </c>
      <c r="G31" s="56"/>
      <c r="H31" s="55"/>
      <c r="I31" s="55"/>
      <c r="J31" s="57"/>
      <c r="K31" s="54"/>
      <c r="L31" s="55"/>
      <c r="M31" s="55" t="s">
        <v>99</v>
      </c>
      <c r="N31" s="56"/>
      <c r="O31" s="55"/>
      <c r="P31" s="55"/>
      <c r="Q31" s="57"/>
      <c r="R31" s="54"/>
      <c r="S31" s="55"/>
      <c r="T31" s="55" t="s">
        <v>99</v>
      </c>
      <c r="U31" s="56"/>
      <c r="V31" s="55"/>
      <c r="W31" s="55"/>
      <c r="X31" s="57"/>
      <c r="Y31" s="54"/>
      <c r="Z31" s="55"/>
      <c r="AA31" s="55" t="s">
        <v>99</v>
      </c>
      <c r="AB31" s="56"/>
      <c r="AC31" s="55"/>
      <c r="AD31" s="55"/>
      <c r="AE31" s="122"/>
      <c r="AF31" s="88">
        <f t="shared" si="8"/>
        <v>4</v>
      </c>
      <c r="AG31" s="89">
        <f t="shared" si="11"/>
        <v>4</v>
      </c>
      <c r="AH31" s="59">
        <f t="shared" si="11"/>
        <v>0</v>
      </c>
      <c r="AI31" s="59">
        <f t="shared" si="1"/>
        <v>0</v>
      </c>
      <c r="AJ31" s="59">
        <f t="shared" si="2"/>
        <v>0</v>
      </c>
      <c r="AK31" s="59">
        <f t="shared" si="3"/>
        <v>0</v>
      </c>
      <c r="AL31" s="59">
        <f t="shared" si="4"/>
        <v>0</v>
      </c>
      <c r="AM31" s="59">
        <f t="shared" si="5"/>
        <v>0</v>
      </c>
      <c r="AN31" s="90">
        <f t="shared" si="6"/>
        <v>0</v>
      </c>
      <c r="AO31" s="58">
        <f t="shared" si="9"/>
        <v>0</v>
      </c>
      <c r="AP31" s="59">
        <f t="shared" si="9"/>
        <v>0</v>
      </c>
      <c r="AQ31" s="59">
        <f t="shared" si="9"/>
        <v>0</v>
      </c>
      <c r="AR31" s="59">
        <f t="shared" si="9"/>
        <v>0</v>
      </c>
      <c r="AS31" s="59">
        <f t="shared" si="9"/>
        <v>0</v>
      </c>
      <c r="AT31" s="60">
        <f t="shared" si="9"/>
        <v>0</v>
      </c>
    </row>
    <row r="32" spans="1:46">
      <c r="A32" s="92" t="s">
        <v>91</v>
      </c>
      <c r="B32" s="93"/>
      <c r="C32" s="114"/>
      <c r="D32" s="54"/>
      <c r="E32" s="55" t="s">
        <v>99</v>
      </c>
      <c r="F32" s="55"/>
      <c r="G32" s="56"/>
      <c r="H32" s="55"/>
      <c r="I32" s="55"/>
      <c r="J32" s="57"/>
      <c r="K32" s="54"/>
      <c r="L32" s="55" t="s">
        <v>99</v>
      </c>
      <c r="M32" s="55"/>
      <c r="N32" s="56"/>
      <c r="O32" s="55"/>
      <c r="P32" s="55"/>
      <c r="Q32" s="57"/>
      <c r="R32" s="54"/>
      <c r="S32" s="55" t="s">
        <v>99</v>
      </c>
      <c r="T32" s="55"/>
      <c r="U32" s="56"/>
      <c r="V32" s="55"/>
      <c r="W32" s="55"/>
      <c r="X32" s="142" t="s">
        <v>106</v>
      </c>
      <c r="Y32" s="143" t="s">
        <v>105</v>
      </c>
      <c r="Z32" s="55" t="s">
        <v>99</v>
      </c>
      <c r="AA32" s="142" t="s">
        <v>103</v>
      </c>
      <c r="AB32" s="56"/>
      <c r="AC32" s="55"/>
      <c r="AD32" s="55"/>
      <c r="AE32" s="122"/>
      <c r="AF32" s="88">
        <f t="shared" si="8"/>
        <v>6</v>
      </c>
      <c r="AG32" s="89">
        <f t="shared" si="11"/>
        <v>4</v>
      </c>
      <c r="AH32" s="59">
        <f t="shared" si="11"/>
        <v>1</v>
      </c>
      <c r="AI32" s="59">
        <f t="shared" si="1"/>
        <v>0</v>
      </c>
      <c r="AJ32" s="59">
        <f t="shared" si="2"/>
        <v>0</v>
      </c>
      <c r="AK32" s="59">
        <f t="shared" si="3"/>
        <v>0</v>
      </c>
      <c r="AL32" s="59">
        <f t="shared" si="4"/>
        <v>0</v>
      </c>
      <c r="AM32" s="59">
        <f t="shared" si="5"/>
        <v>0</v>
      </c>
      <c r="AN32" s="90">
        <f t="shared" si="6"/>
        <v>1</v>
      </c>
      <c r="AO32" s="58">
        <f t="shared" si="9"/>
        <v>0</v>
      </c>
      <c r="AP32" s="59">
        <f t="shared" si="9"/>
        <v>0</v>
      </c>
      <c r="AQ32" s="59">
        <f t="shared" si="9"/>
        <v>0</v>
      </c>
      <c r="AR32" s="59">
        <f t="shared" si="9"/>
        <v>1</v>
      </c>
      <c r="AS32" s="59">
        <f t="shared" si="9"/>
        <v>0</v>
      </c>
      <c r="AT32" s="60">
        <f t="shared" si="9"/>
        <v>0</v>
      </c>
    </row>
    <row r="33" spans="1:46">
      <c r="A33" s="92" t="s">
        <v>51</v>
      </c>
      <c r="B33" s="93">
        <v>1</v>
      </c>
      <c r="C33" s="114"/>
      <c r="D33" s="54"/>
      <c r="E33" s="55"/>
      <c r="F33" s="55"/>
      <c r="G33" s="55" t="s">
        <v>99</v>
      </c>
      <c r="H33" s="55"/>
      <c r="I33" s="55"/>
      <c r="J33" s="57"/>
      <c r="K33" s="54"/>
      <c r="L33" s="55"/>
      <c r="M33" s="55"/>
      <c r="N33" s="55" t="s">
        <v>99</v>
      </c>
      <c r="O33" s="55"/>
      <c r="P33" s="55"/>
      <c r="Q33" s="57"/>
      <c r="R33" s="54"/>
      <c r="S33" s="55"/>
      <c r="T33" s="55"/>
      <c r="U33" s="55" t="s">
        <v>99</v>
      </c>
      <c r="V33" s="55"/>
      <c r="W33" s="55"/>
      <c r="X33" s="57"/>
      <c r="Y33" s="54"/>
      <c r="Z33" s="55"/>
      <c r="AA33" s="55"/>
      <c r="AB33" s="55" t="s">
        <v>99</v>
      </c>
      <c r="AC33" s="55"/>
      <c r="AD33" s="55"/>
      <c r="AE33" s="122"/>
      <c r="AF33" s="88">
        <f t="shared" si="8"/>
        <v>4</v>
      </c>
      <c r="AG33" s="89">
        <f t="shared" si="11"/>
        <v>4</v>
      </c>
      <c r="AH33" s="59">
        <f t="shared" si="11"/>
        <v>0</v>
      </c>
      <c r="AI33" s="59">
        <f t="shared" si="1"/>
        <v>0</v>
      </c>
      <c r="AJ33" s="59">
        <f t="shared" si="2"/>
        <v>0</v>
      </c>
      <c r="AK33" s="59">
        <f t="shared" si="3"/>
        <v>0</v>
      </c>
      <c r="AL33" s="59">
        <f t="shared" si="4"/>
        <v>0</v>
      </c>
      <c r="AM33" s="59">
        <f t="shared" si="5"/>
        <v>0</v>
      </c>
      <c r="AN33" s="90">
        <f t="shared" si="6"/>
        <v>0</v>
      </c>
      <c r="AO33" s="58">
        <f t="shared" si="9"/>
        <v>0</v>
      </c>
      <c r="AP33" s="59">
        <f t="shared" si="9"/>
        <v>0</v>
      </c>
      <c r="AQ33" s="59">
        <f t="shared" si="9"/>
        <v>0</v>
      </c>
      <c r="AR33" s="59">
        <f t="shared" si="9"/>
        <v>0</v>
      </c>
      <c r="AS33" s="59">
        <f t="shared" si="9"/>
        <v>0</v>
      </c>
      <c r="AT33" s="60">
        <f t="shared" si="9"/>
        <v>0</v>
      </c>
    </row>
    <row r="34" spans="1:46">
      <c r="A34" s="92" t="s">
        <v>52</v>
      </c>
      <c r="B34" s="93"/>
      <c r="C34" s="119"/>
      <c r="D34" s="54" t="s">
        <v>99</v>
      </c>
      <c r="E34" s="55"/>
      <c r="F34" s="55"/>
      <c r="G34" s="55"/>
      <c r="H34" s="55"/>
      <c r="I34" s="55"/>
      <c r="J34" s="57"/>
      <c r="K34" s="54" t="s">
        <v>99</v>
      </c>
      <c r="L34" s="55"/>
      <c r="M34" s="55"/>
      <c r="N34" s="55"/>
      <c r="O34" s="55"/>
      <c r="P34" s="55"/>
      <c r="Q34" s="57"/>
      <c r="R34" s="54" t="s">
        <v>99</v>
      </c>
      <c r="S34" s="55"/>
      <c r="T34" s="55"/>
      <c r="U34" s="55"/>
      <c r="V34" s="55"/>
      <c r="W34" s="55"/>
      <c r="X34" s="57"/>
      <c r="Y34" s="54" t="s">
        <v>99</v>
      </c>
      <c r="Z34" s="55"/>
      <c r="AA34" s="55"/>
      <c r="AB34" s="55"/>
      <c r="AC34" s="55"/>
      <c r="AD34" s="55"/>
      <c r="AE34" s="122"/>
      <c r="AF34" s="88">
        <f t="shared" si="8"/>
        <v>4</v>
      </c>
      <c r="AG34" s="89">
        <f t="shared" si="11"/>
        <v>4</v>
      </c>
      <c r="AH34" s="59">
        <f t="shared" si="11"/>
        <v>0</v>
      </c>
      <c r="AI34" s="59">
        <f t="shared" si="1"/>
        <v>0</v>
      </c>
      <c r="AJ34" s="59">
        <f t="shared" si="2"/>
        <v>0</v>
      </c>
      <c r="AK34" s="59">
        <f t="shared" si="3"/>
        <v>0</v>
      </c>
      <c r="AL34" s="59">
        <f t="shared" si="4"/>
        <v>0</v>
      </c>
      <c r="AM34" s="59">
        <f t="shared" si="5"/>
        <v>0</v>
      </c>
      <c r="AN34" s="90">
        <f t="shared" si="6"/>
        <v>0</v>
      </c>
      <c r="AO34" s="58">
        <f t="shared" si="9"/>
        <v>0</v>
      </c>
      <c r="AP34" s="59">
        <f t="shared" si="9"/>
        <v>0</v>
      </c>
      <c r="AQ34" s="59">
        <f t="shared" si="9"/>
        <v>0</v>
      </c>
      <c r="AR34" s="59">
        <f t="shared" si="9"/>
        <v>0</v>
      </c>
      <c r="AS34" s="59">
        <f t="shared" si="9"/>
        <v>0</v>
      </c>
      <c r="AT34" s="60">
        <f t="shared" si="9"/>
        <v>0</v>
      </c>
    </row>
    <row r="35" spans="1:46">
      <c r="A35" s="92" t="s">
        <v>53</v>
      </c>
      <c r="B35" s="93"/>
      <c r="C35" s="114"/>
      <c r="D35" s="54"/>
      <c r="E35" s="55" t="s">
        <v>99</v>
      </c>
      <c r="F35" s="55"/>
      <c r="G35" s="56"/>
      <c r="H35" s="55"/>
      <c r="I35" s="55"/>
      <c r="J35" s="57"/>
      <c r="K35" s="54"/>
      <c r="L35" s="55" t="s">
        <v>99</v>
      </c>
      <c r="M35" s="55"/>
      <c r="N35" s="56"/>
      <c r="O35" s="55"/>
      <c r="P35" s="55"/>
      <c r="Q35" s="57"/>
      <c r="R35" s="54"/>
      <c r="S35" s="55" t="s">
        <v>99</v>
      </c>
      <c r="T35" s="55"/>
      <c r="U35" s="56"/>
      <c r="V35" s="55"/>
      <c r="W35" s="55"/>
      <c r="X35" s="57"/>
      <c r="Y35" s="54"/>
      <c r="Z35" s="55" t="s">
        <v>99</v>
      </c>
      <c r="AA35" s="55"/>
      <c r="AB35" s="56"/>
      <c r="AC35" s="55"/>
      <c r="AD35" s="55"/>
      <c r="AE35" s="122"/>
      <c r="AF35" s="88">
        <f t="shared" si="8"/>
        <v>4</v>
      </c>
      <c r="AG35" s="89">
        <f t="shared" si="11"/>
        <v>4</v>
      </c>
      <c r="AH35" s="59">
        <f t="shared" si="11"/>
        <v>0</v>
      </c>
      <c r="AI35" s="59">
        <f t="shared" si="1"/>
        <v>0</v>
      </c>
      <c r="AJ35" s="59">
        <f t="shared" si="2"/>
        <v>0</v>
      </c>
      <c r="AK35" s="59">
        <f t="shared" si="3"/>
        <v>0</v>
      </c>
      <c r="AL35" s="59">
        <f t="shared" si="4"/>
        <v>0</v>
      </c>
      <c r="AM35" s="59">
        <f t="shared" si="5"/>
        <v>0</v>
      </c>
      <c r="AN35" s="90">
        <f t="shared" si="6"/>
        <v>0</v>
      </c>
      <c r="AO35" s="58">
        <f t="shared" si="9"/>
        <v>0</v>
      </c>
      <c r="AP35" s="59">
        <f t="shared" si="9"/>
        <v>0</v>
      </c>
      <c r="AQ35" s="59">
        <f t="shared" si="9"/>
        <v>0</v>
      </c>
      <c r="AR35" s="59">
        <f t="shared" si="9"/>
        <v>0</v>
      </c>
      <c r="AS35" s="59">
        <f t="shared" si="9"/>
        <v>0</v>
      </c>
      <c r="AT35" s="60">
        <f t="shared" si="9"/>
        <v>0</v>
      </c>
    </row>
    <row r="36" spans="1:46">
      <c r="A36" s="92" t="s">
        <v>54</v>
      </c>
      <c r="B36" s="93"/>
      <c r="C36" s="114"/>
      <c r="D36" s="54"/>
      <c r="E36" s="55"/>
      <c r="F36" s="55" t="s">
        <v>99</v>
      </c>
      <c r="G36" s="121"/>
      <c r="H36" s="55"/>
      <c r="I36" s="55"/>
      <c r="J36" s="57"/>
      <c r="K36" s="54"/>
      <c r="L36" s="55"/>
      <c r="M36" s="55" t="s">
        <v>99</v>
      </c>
      <c r="N36" s="121"/>
      <c r="O36" s="55"/>
      <c r="P36" s="55"/>
      <c r="Q36" s="57"/>
      <c r="R36" s="54"/>
      <c r="S36" s="55"/>
      <c r="T36" s="55" t="s">
        <v>99</v>
      </c>
      <c r="U36" s="121"/>
      <c r="V36" s="55"/>
      <c r="W36" s="55"/>
      <c r="X36" s="57"/>
      <c r="Y36" s="54"/>
      <c r="Z36" s="55"/>
      <c r="AA36" s="55" t="s">
        <v>99</v>
      </c>
      <c r="AB36" s="121"/>
      <c r="AC36" s="55"/>
      <c r="AD36" s="55"/>
      <c r="AE36" s="122"/>
      <c r="AF36" s="88">
        <f t="shared" si="8"/>
        <v>4</v>
      </c>
      <c r="AG36" s="89">
        <f t="shared" si="11"/>
        <v>4</v>
      </c>
      <c r="AH36" s="59">
        <f t="shared" si="11"/>
        <v>0</v>
      </c>
      <c r="AI36" s="59">
        <f t="shared" si="1"/>
        <v>0</v>
      </c>
      <c r="AJ36" s="59">
        <f t="shared" si="2"/>
        <v>0</v>
      </c>
      <c r="AK36" s="59">
        <f t="shared" si="3"/>
        <v>0</v>
      </c>
      <c r="AL36" s="59">
        <f t="shared" si="4"/>
        <v>0</v>
      </c>
      <c r="AM36" s="59">
        <f t="shared" si="5"/>
        <v>0</v>
      </c>
      <c r="AN36" s="90">
        <f t="shared" si="6"/>
        <v>0</v>
      </c>
      <c r="AO36" s="58">
        <f t="shared" si="9"/>
        <v>0</v>
      </c>
      <c r="AP36" s="59">
        <f t="shared" si="9"/>
        <v>0</v>
      </c>
      <c r="AQ36" s="59">
        <f t="shared" si="9"/>
        <v>0</v>
      </c>
      <c r="AR36" s="59">
        <f t="shared" si="9"/>
        <v>0</v>
      </c>
      <c r="AS36" s="59">
        <f t="shared" si="9"/>
        <v>0</v>
      </c>
      <c r="AT36" s="60">
        <f t="shared" si="9"/>
        <v>0</v>
      </c>
    </row>
    <row r="37" spans="1:46">
      <c r="A37" s="92" t="s">
        <v>55</v>
      </c>
      <c r="B37" s="93"/>
      <c r="C37" s="119"/>
      <c r="D37" s="54"/>
      <c r="E37" s="55"/>
      <c r="F37" s="55"/>
      <c r="G37" s="55"/>
      <c r="H37" s="55"/>
      <c r="I37" s="55"/>
      <c r="J37" s="57" t="s">
        <v>99</v>
      </c>
      <c r="K37" s="54"/>
      <c r="L37" s="55"/>
      <c r="M37" s="55"/>
      <c r="N37" s="55"/>
      <c r="O37" s="55"/>
      <c r="P37" s="55"/>
      <c r="Q37" s="57" t="s">
        <v>99</v>
      </c>
      <c r="R37" s="54"/>
      <c r="S37" s="55"/>
      <c r="T37" s="55"/>
      <c r="U37" s="55"/>
      <c r="V37" s="55"/>
      <c r="W37" s="142" t="s">
        <v>105</v>
      </c>
      <c r="X37" s="57" t="s">
        <v>99</v>
      </c>
      <c r="Y37" s="143" t="s">
        <v>106</v>
      </c>
      <c r="Z37" s="142" t="s">
        <v>105</v>
      </c>
      <c r="AA37" s="55"/>
      <c r="AB37" s="55"/>
      <c r="AC37" s="55"/>
      <c r="AD37" s="55"/>
      <c r="AE37" s="122" t="s">
        <v>99</v>
      </c>
      <c r="AF37" s="88">
        <f t="shared" si="8"/>
        <v>7</v>
      </c>
      <c r="AG37" s="89">
        <f t="shared" si="11"/>
        <v>4</v>
      </c>
      <c r="AH37" s="59">
        <f t="shared" si="11"/>
        <v>2</v>
      </c>
      <c r="AI37" s="59">
        <f t="shared" si="1"/>
        <v>0</v>
      </c>
      <c r="AJ37" s="59">
        <f t="shared" si="2"/>
        <v>0</v>
      </c>
      <c r="AK37" s="59">
        <f t="shared" si="3"/>
        <v>0</v>
      </c>
      <c r="AL37" s="59">
        <f t="shared" si="4"/>
        <v>0</v>
      </c>
      <c r="AM37" s="59">
        <f t="shared" si="5"/>
        <v>0</v>
      </c>
      <c r="AN37" s="90">
        <f t="shared" si="6"/>
        <v>1</v>
      </c>
      <c r="AO37" s="58">
        <f t="shared" si="9"/>
        <v>0</v>
      </c>
      <c r="AP37" s="59">
        <f t="shared" si="9"/>
        <v>0</v>
      </c>
      <c r="AQ37" s="59">
        <f t="shared" si="9"/>
        <v>0</v>
      </c>
      <c r="AR37" s="59">
        <f t="shared" si="9"/>
        <v>0</v>
      </c>
      <c r="AS37" s="59">
        <f t="shared" si="9"/>
        <v>0</v>
      </c>
      <c r="AT37" s="60">
        <f t="shared" si="9"/>
        <v>0</v>
      </c>
    </row>
    <row r="38" spans="1:46">
      <c r="A38" s="92" t="s">
        <v>56</v>
      </c>
      <c r="B38" s="93"/>
      <c r="C38" s="111"/>
      <c r="D38" s="54" t="s">
        <v>99</v>
      </c>
      <c r="E38" s="55"/>
      <c r="F38" s="55"/>
      <c r="G38" s="121"/>
      <c r="H38" s="55"/>
      <c r="I38" s="55"/>
      <c r="J38" s="151" t="s">
        <v>103</v>
      </c>
      <c r="K38" s="54" t="s">
        <v>99</v>
      </c>
      <c r="L38" s="142" t="s">
        <v>113</v>
      </c>
      <c r="M38" s="142" t="s">
        <v>106</v>
      </c>
      <c r="N38" s="157" t="s">
        <v>114</v>
      </c>
      <c r="O38" s="55"/>
      <c r="P38" s="55"/>
      <c r="Q38" s="57"/>
      <c r="R38" s="54" t="s">
        <v>99</v>
      </c>
      <c r="S38" s="55"/>
      <c r="T38" s="55"/>
      <c r="U38" s="121"/>
      <c r="V38" s="55"/>
      <c r="W38" s="55"/>
      <c r="X38" s="57"/>
      <c r="Y38" s="54" t="s">
        <v>99</v>
      </c>
      <c r="Z38" s="55"/>
      <c r="AA38" s="55"/>
      <c r="AB38" s="121"/>
      <c r="AC38" s="55"/>
      <c r="AD38" s="55"/>
      <c r="AE38" s="147" t="s">
        <v>105</v>
      </c>
      <c r="AF38" s="88">
        <f t="shared" si="8"/>
        <v>7</v>
      </c>
      <c r="AG38" s="89">
        <f t="shared" si="11"/>
        <v>4</v>
      </c>
      <c r="AH38" s="59">
        <f t="shared" si="11"/>
        <v>2</v>
      </c>
      <c r="AI38" s="59">
        <f t="shared" si="1"/>
        <v>0</v>
      </c>
      <c r="AJ38" s="59">
        <f t="shared" si="2"/>
        <v>0</v>
      </c>
      <c r="AK38" s="59">
        <f t="shared" si="3"/>
        <v>0</v>
      </c>
      <c r="AL38" s="59">
        <f t="shared" si="4"/>
        <v>0</v>
      </c>
      <c r="AM38" s="59">
        <f t="shared" si="5"/>
        <v>0</v>
      </c>
      <c r="AN38" s="90">
        <f t="shared" si="6"/>
        <v>1</v>
      </c>
      <c r="AO38" s="58">
        <f t="shared" si="9"/>
        <v>0</v>
      </c>
      <c r="AP38" s="59">
        <f t="shared" si="9"/>
        <v>0</v>
      </c>
      <c r="AQ38" s="59">
        <f t="shared" si="9"/>
        <v>0</v>
      </c>
      <c r="AR38" s="59">
        <f t="shared" si="9"/>
        <v>1</v>
      </c>
      <c r="AS38" s="59">
        <f t="shared" si="9"/>
        <v>0</v>
      </c>
      <c r="AT38" s="60">
        <f t="shared" si="9"/>
        <v>1</v>
      </c>
    </row>
    <row r="39" spans="1:46">
      <c r="A39" s="92" t="s">
        <v>57</v>
      </c>
      <c r="B39" s="93"/>
      <c r="C39" s="111"/>
      <c r="D39" s="143" t="s">
        <v>106</v>
      </c>
      <c r="E39" s="55"/>
      <c r="F39" s="55"/>
      <c r="G39" s="55" t="s">
        <v>99</v>
      </c>
      <c r="H39" s="55"/>
      <c r="I39" s="55"/>
      <c r="J39" s="57"/>
      <c r="K39" s="54"/>
      <c r="L39" s="55"/>
      <c r="M39" s="55"/>
      <c r="N39" s="55" t="s">
        <v>99</v>
      </c>
      <c r="O39" s="55"/>
      <c r="P39" s="55"/>
      <c r="Q39" s="57"/>
      <c r="R39" s="54"/>
      <c r="S39" s="55"/>
      <c r="T39" s="55"/>
      <c r="U39" s="55" t="s">
        <v>99</v>
      </c>
      <c r="V39" s="55"/>
      <c r="W39" s="55"/>
      <c r="X39" s="57"/>
      <c r="Y39" s="54"/>
      <c r="Z39" s="55"/>
      <c r="AA39" s="55"/>
      <c r="AB39" s="55" t="s">
        <v>99</v>
      </c>
      <c r="AC39" s="55"/>
      <c r="AD39" s="55"/>
      <c r="AE39" s="122"/>
      <c r="AF39" s="88">
        <f t="shared" si="8"/>
        <v>5</v>
      </c>
      <c r="AG39" s="89">
        <f t="shared" si="11"/>
        <v>4</v>
      </c>
      <c r="AH39" s="59">
        <f t="shared" si="11"/>
        <v>0</v>
      </c>
      <c r="AI39" s="59">
        <f t="shared" si="1"/>
        <v>0</v>
      </c>
      <c r="AJ39" s="59">
        <f t="shared" si="2"/>
        <v>0</v>
      </c>
      <c r="AK39" s="59">
        <f t="shared" si="3"/>
        <v>0</v>
      </c>
      <c r="AL39" s="59">
        <f t="shared" si="4"/>
        <v>0</v>
      </c>
      <c r="AM39" s="59">
        <f t="shared" si="5"/>
        <v>0</v>
      </c>
      <c r="AN39" s="90">
        <f t="shared" si="6"/>
        <v>1</v>
      </c>
      <c r="AO39" s="58">
        <f t="shared" si="9"/>
        <v>0</v>
      </c>
      <c r="AP39" s="59">
        <f t="shared" si="9"/>
        <v>0</v>
      </c>
      <c r="AQ39" s="59">
        <f t="shared" si="9"/>
        <v>0</v>
      </c>
      <c r="AR39" s="59">
        <f t="shared" si="9"/>
        <v>0</v>
      </c>
      <c r="AS39" s="59">
        <f t="shared" si="9"/>
        <v>0</v>
      </c>
      <c r="AT39" s="60">
        <f t="shared" si="9"/>
        <v>0</v>
      </c>
    </row>
    <row r="40" spans="1:46">
      <c r="A40" s="125" t="s">
        <v>92</v>
      </c>
      <c r="B40" s="123"/>
      <c r="C40" s="124"/>
      <c r="D40" s="54"/>
      <c r="E40" s="55"/>
      <c r="F40" s="55"/>
      <c r="G40" s="121"/>
      <c r="H40" s="55" t="s">
        <v>99</v>
      </c>
      <c r="I40" s="142" t="s">
        <v>114</v>
      </c>
      <c r="J40" s="57"/>
      <c r="K40" s="54"/>
      <c r="L40" s="55"/>
      <c r="M40" s="55"/>
      <c r="N40" s="121"/>
      <c r="O40" s="55" t="s">
        <v>99</v>
      </c>
      <c r="P40" s="55"/>
      <c r="Q40" s="57"/>
      <c r="R40" s="54"/>
      <c r="S40" s="55"/>
      <c r="T40" s="55"/>
      <c r="U40" s="121"/>
      <c r="V40" s="55" t="s">
        <v>99</v>
      </c>
      <c r="W40" s="55"/>
      <c r="X40" s="57"/>
      <c r="Y40" s="54"/>
      <c r="Z40" s="55"/>
      <c r="AA40" s="55"/>
      <c r="AB40" s="157" t="s">
        <v>103</v>
      </c>
      <c r="AC40" s="55" t="s">
        <v>99</v>
      </c>
      <c r="AD40" s="55"/>
      <c r="AE40" s="122"/>
      <c r="AF40" s="88">
        <f t="shared" si="8"/>
        <v>4</v>
      </c>
      <c r="AG40" s="89">
        <f t="shared" si="11"/>
        <v>4</v>
      </c>
      <c r="AH40" s="59">
        <f t="shared" si="11"/>
        <v>0</v>
      </c>
      <c r="AI40" s="59">
        <f t="shared" si="1"/>
        <v>0</v>
      </c>
      <c r="AJ40" s="59">
        <f t="shared" si="2"/>
        <v>0</v>
      </c>
      <c r="AK40" s="59">
        <f t="shared" si="3"/>
        <v>0</v>
      </c>
      <c r="AL40" s="59">
        <f t="shared" si="4"/>
        <v>0</v>
      </c>
      <c r="AM40" s="59">
        <f t="shared" si="5"/>
        <v>0</v>
      </c>
      <c r="AN40" s="90">
        <f t="shared" si="6"/>
        <v>0</v>
      </c>
      <c r="AO40" s="58">
        <f t="shared" si="9"/>
        <v>0</v>
      </c>
      <c r="AP40" s="59">
        <f t="shared" si="9"/>
        <v>0</v>
      </c>
      <c r="AQ40" s="59">
        <f t="shared" si="9"/>
        <v>0</v>
      </c>
      <c r="AR40" s="59">
        <f t="shared" si="9"/>
        <v>1</v>
      </c>
      <c r="AS40" s="59">
        <f t="shared" si="9"/>
        <v>0</v>
      </c>
      <c r="AT40" s="60">
        <f t="shared" si="9"/>
        <v>1</v>
      </c>
    </row>
    <row r="41" spans="1:46">
      <c r="A41" s="125" t="s">
        <v>93</v>
      </c>
      <c r="B41" s="123"/>
      <c r="C41" s="124"/>
      <c r="D41" s="54"/>
      <c r="E41" s="55"/>
      <c r="F41" s="55"/>
      <c r="G41" s="121"/>
      <c r="H41" s="55"/>
      <c r="I41" s="55" t="s">
        <v>99</v>
      </c>
      <c r="J41" s="57"/>
      <c r="K41" s="54"/>
      <c r="L41" s="55"/>
      <c r="M41" s="55"/>
      <c r="N41" s="121"/>
      <c r="O41" s="55"/>
      <c r="P41" s="55" t="s">
        <v>99</v>
      </c>
      <c r="Q41" s="57"/>
      <c r="R41" s="54"/>
      <c r="S41" s="55"/>
      <c r="T41" s="55"/>
      <c r="U41" s="121"/>
      <c r="V41" s="55"/>
      <c r="W41" s="55" t="s">
        <v>99</v>
      </c>
      <c r="X41" s="57"/>
      <c r="Y41" s="54"/>
      <c r="Z41" s="55"/>
      <c r="AA41" s="55"/>
      <c r="AB41" s="121"/>
      <c r="AC41" s="55"/>
      <c r="AD41" s="55" t="s">
        <v>99</v>
      </c>
      <c r="AE41" s="122"/>
      <c r="AF41" s="88">
        <f t="shared" si="8"/>
        <v>4</v>
      </c>
      <c r="AG41" s="89">
        <f t="shared" si="11"/>
        <v>4</v>
      </c>
      <c r="AH41" s="59">
        <f t="shared" si="11"/>
        <v>0</v>
      </c>
      <c r="AI41" s="59">
        <f t="shared" si="1"/>
        <v>0</v>
      </c>
      <c r="AJ41" s="59">
        <f t="shared" si="2"/>
        <v>0</v>
      </c>
      <c r="AK41" s="59">
        <f t="shared" si="3"/>
        <v>0</v>
      </c>
      <c r="AL41" s="59">
        <f t="shared" si="4"/>
        <v>0</v>
      </c>
      <c r="AM41" s="59">
        <f t="shared" si="5"/>
        <v>0</v>
      </c>
      <c r="AN41" s="90">
        <f t="shared" si="6"/>
        <v>0</v>
      </c>
      <c r="AO41" s="58">
        <f t="shared" ref="AO41:AT42" si="12">COUNTIF($D41:$AE41,AO$5)</f>
        <v>0</v>
      </c>
      <c r="AP41" s="59">
        <f t="shared" si="12"/>
        <v>0</v>
      </c>
      <c r="AQ41" s="59">
        <f t="shared" si="12"/>
        <v>0</v>
      </c>
      <c r="AR41" s="59">
        <f t="shared" si="12"/>
        <v>0</v>
      </c>
      <c r="AS41" s="59">
        <f t="shared" si="12"/>
        <v>0</v>
      </c>
      <c r="AT41" s="60">
        <f t="shared" si="12"/>
        <v>0</v>
      </c>
    </row>
    <row r="42" spans="1:46">
      <c r="A42" s="125" t="s">
        <v>94</v>
      </c>
      <c r="B42" s="123"/>
      <c r="C42" s="124" t="s">
        <v>122</v>
      </c>
      <c r="D42" s="54"/>
      <c r="E42" s="55"/>
      <c r="F42" s="55"/>
      <c r="G42" s="55"/>
      <c r="H42" s="55" t="s">
        <v>99</v>
      </c>
      <c r="I42" s="55"/>
      <c r="J42" s="57"/>
      <c r="K42" s="54"/>
      <c r="L42" s="55"/>
      <c r="M42" s="55"/>
      <c r="N42" s="55"/>
      <c r="O42" s="55" t="s">
        <v>99</v>
      </c>
      <c r="P42" s="55"/>
      <c r="Q42" s="57"/>
      <c r="R42" s="54"/>
      <c r="S42" s="55"/>
      <c r="T42" s="55"/>
      <c r="U42" s="55"/>
      <c r="V42" s="55" t="s">
        <v>99</v>
      </c>
      <c r="W42" s="55"/>
      <c r="X42" s="57"/>
      <c r="Y42" s="54"/>
      <c r="Z42" s="55"/>
      <c r="AA42" s="55"/>
      <c r="AB42" s="55"/>
      <c r="AC42" s="55" t="s">
        <v>99</v>
      </c>
      <c r="AD42" s="55"/>
      <c r="AE42" s="122"/>
      <c r="AF42" s="88">
        <f t="shared" si="8"/>
        <v>4</v>
      </c>
      <c r="AG42" s="89">
        <f t="shared" si="11"/>
        <v>4</v>
      </c>
      <c r="AH42" s="59">
        <f t="shared" si="11"/>
        <v>0</v>
      </c>
      <c r="AI42" s="59">
        <f t="shared" si="1"/>
        <v>0</v>
      </c>
      <c r="AJ42" s="59">
        <f t="shared" si="2"/>
        <v>0</v>
      </c>
      <c r="AK42" s="59">
        <f t="shared" si="3"/>
        <v>0</v>
      </c>
      <c r="AL42" s="59">
        <f t="shared" si="4"/>
        <v>0</v>
      </c>
      <c r="AM42" s="59">
        <f t="shared" si="5"/>
        <v>0</v>
      </c>
      <c r="AN42" s="90">
        <f t="shared" si="6"/>
        <v>0</v>
      </c>
      <c r="AO42" s="58">
        <f t="shared" si="12"/>
        <v>0</v>
      </c>
      <c r="AP42" s="59">
        <f t="shared" si="12"/>
        <v>0</v>
      </c>
      <c r="AQ42" s="59">
        <f t="shared" si="12"/>
        <v>0</v>
      </c>
      <c r="AR42" s="59">
        <f t="shared" si="12"/>
        <v>0</v>
      </c>
      <c r="AS42" s="59">
        <f t="shared" si="12"/>
        <v>0</v>
      </c>
      <c r="AT42" s="60">
        <f t="shared" si="12"/>
        <v>0</v>
      </c>
    </row>
    <row r="43" spans="1:46" ht="17.25" thickBot="1">
      <c r="A43" s="126" t="s">
        <v>95</v>
      </c>
      <c r="B43" s="96"/>
      <c r="C43" s="115"/>
      <c r="D43" s="70"/>
      <c r="E43" s="71"/>
      <c r="F43" s="71"/>
      <c r="G43" s="71"/>
      <c r="H43" s="71"/>
      <c r="I43" s="71"/>
      <c r="J43" s="97" t="s">
        <v>99</v>
      </c>
      <c r="K43" s="70"/>
      <c r="L43" s="71"/>
      <c r="M43" s="71"/>
      <c r="N43" s="71"/>
      <c r="O43" s="71"/>
      <c r="P43" s="71"/>
      <c r="Q43" s="97" t="s">
        <v>99</v>
      </c>
      <c r="R43" s="70"/>
      <c r="S43" s="71"/>
      <c r="T43" s="71"/>
      <c r="U43" s="71"/>
      <c r="V43" s="71"/>
      <c r="W43" s="71"/>
      <c r="X43" s="97" t="s">
        <v>99</v>
      </c>
      <c r="Y43" s="70"/>
      <c r="Z43" s="71"/>
      <c r="AA43" s="71"/>
      <c r="AB43" s="71"/>
      <c r="AC43" s="71"/>
      <c r="AD43" s="71"/>
      <c r="AE43" s="134" t="s">
        <v>99</v>
      </c>
      <c r="AF43" s="98">
        <f t="shared" si="8"/>
        <v>4</v>
      </c>
      <c r="AG43" s="136">
        <f t="shared" si="11"/>
        <v>4</v>
      </c>
      <c r="AH43" s="99">
        <f t="shared" si="11"/>
        <v>0</v>
      </c>
      <c r="AI43" s="99">
        <f t="shared" si="1"/>
        <v>0</v>
      </c>
      <c r="AJ43" s="99">
        <f t="shared" si="2"/>
        <v>0</v>
      </c>
      <c r="AK43" s="99">
        <f t="shared" si="3"/>
        <v>0</v>
      </c>
      <c r="AL43" s="99">
        <f t="shared" si="4"/>
        <v>0</v>
      </c>
      <c r="AM43" s="99">
        <f t="shared" si="5"/>
        <v>0</v>
      </c>
      <c r="AN43" s="100">
        <f t="shared" si="6"/>
        <v>0</v>
      </c>
      <c r="AO43" s="101">
        <f t="shared" ref="AO43:AT43" si="13">COUNTIF($D43:$AE43,AO$5)</f>
        <v>0</v>
      </c>
      <c r="AP43" s="99">
        <f t="shared" si="13"/>
        <v>0</v>
      </c>
      <c r="AQ43" s="99">
        <f t="shared" si="13"/>
        <v>0</v>
      </c>
      <c r="AR43" s="99">
        <f t="shared" si="13"/>
        <v>0</v>
      </c>
      <c r="AS43" s="99">
        <f t="shared" si="13"/>
        <v>0</v>
      </c>
      <c r="AT43" s="102">
        <f t="shared" si="13"/>
        <v>0</v>
      </c>
    </row>
    <row r="44" spans="1:46">
      <c r="A44" s="105" t="s">
        <v>34</v>
      </c>
      <c r="D44" s="106">
        <f t="shared" ref="D44:M45" si="14">COUNTIF(D$6:D$43,$A44)</f>
        <v>4</v>
      </c>
      <c r="E44" s="106">
        <f t="shared" si="14"/>
        <v>1</v>
      </c>
      <c r="F44" s="106">
        <f t="shared" si="14"/>
        <v>1</v>
      </c>
      <c r="G44" s="106">
        <f t="shared" si="14"/>
        <v>3</v>
      </c>
      <c r="H44" s="106">
        <f t="shared" si="14"/>
        <v>4</v>
      </c>
      <c r="I44" s="106">
        <f t="shared" si="14"/>
        <v>0</v>
      </c>
      <c r="J44" s="106">
        <f t="shared" si="14"/>
        <v>3</v>
      </c>
      <c r="K44" s="106">
        <f t="shared" si="14"/>
        <v>5</v>
      </c>
      <c r="L44" s="106">
        <f t="shared" si="14"/>
        <v>3</v>
      </c>
      <c r="M44" s="106">
        <f t="shared" si="14"/>
        <v>3</v>
      </c>
      <c r="N44" s="106">
        <f t="shared" ref="N44:W45" si="15">COUNTIF(N$6:N$43,$A44)</f>
        <v>3</v>
      </c>
      <c r="O44" s="106">
        <f t="shared" si="15"/>
        <v>2</v>
      </c>
      <c r="P44" s="106">
        <f t="shared" si="15"/>
        <v>1</v>
      </c>
      <c r="Q44" s="106">
        <f t="shared" si="15"/>
        <v>0</v>
      </c>
      <c r="R44" s="106">
        <f t="shared" si="15"/>
        <v>1</v>
      </c>
      <c r="S44" s="106">
        <f t="shared" si="15"/>
        <v>0</v>
      </c>
      <c r="T44" s="106">
        <f t="shared" si="15"/>
        <v>0</v>
      </c>
      <c r="U44" s="106">
        <f t="shared" si="15"/>
        <v>0</v>
      </c>
      <c r="V44" s="106">
        <f t="shared" si="15"/>
        <v>3</v>
      </c>
      <c r="W44" s="106">
        <f t="shared" si="15"/>
        <v>2</v>
      </c>
      <c r="X44" s="106">
        <f t="shared" ref="X44:AE45" si="16">COUNTIF(X$6:X$43,$A44)</f>
        <v>4</v>
      </c>
      <c r="Y44" s="106">
        <f t="shared" si="16"/>
        <v>3</v>
      </c>
      <c r="Z44" s="106">
        <f t="shared" si="16"/>
        <v>3</v>
      </c>
      <c r="AA44" s="106">
        <f t="shared" si="16"/>
        <v>1</v>
      </c>
      <c r="AB44" s="106">
        <f>COUNTIF(AB$7:AB$43,$A44)</f>
        <v>1</v>
      </c>
      <c r="AC44" s="106">
        <f t="shared" si="16"/>
        <v>1</v>
      </c>
      <c r="AD44" s="106">
        <f t="shared" si="16"/>
        <v>2</v>
      </c>
      <c r="AE44" s="106">
        <f t="shared" si="16"/>
        <v>3</v>
      </c>
      <c r="AF44" s="106"/>
      <c r="AG44" s="30"/>
      <c r="AH44" s="30"/>
      <c r="AI44" s="30"/>
      <c r="AJ44" s="30"/>
      <c r="AK44" s="30"/>
      <c r="AL44" s="107"/>
      <c r="AM44" s="30"/>
      <c r="AN44" s="30"/>
      <c r="AO44" s="30"/>
      <c r="AP44" s="30"/>
      <c r="AQ44" s="30"/>
      <c r="AR44" s="30"/>
      <c r="AS44" s="30"/>
      <c r="AT44" s="30"/>
    </row>
    <row r="45" spans="1:46">
      <c r="A45" s="108" t="s">
        <v>17</v>
      </c>
      <c r="D45" s="106">
        <f t="shared" si="14"/>
        <v>6</v>
      </c>
      <c r="E45" s="106">
        <f t="shared" si="14"/>
        <v>5</v>
      </c>
      <c r="F45" s="106">
        <f t="shared" si="14"/>
        <v>6</v>
      </c>
      <c r="G45" s="106">
        <f t="shared" si="14"/>
        <v>5</v>
      </c>
      <c r="H45" s="106">
        <f t="shared" si="14"/>
        <v>5</v>
      </c>
      <c r="I45" s="106">
        <f t="shared" si="14"/>
        <v>6</v>
      </c>
      <c r="J45" s="106">
        <f t="shared" si="14"/>
        <v>5</v>
      </c>
      <c r="K45" s="106">
        <f t="shared" si="14"/>
        <v>6</v>
      </c>
      <c r="L45" s="106">
        <f t="shared" si="14"/>
        <v>5</v>
      </c>
      <c r="M45" s="106">
        <f t="shared" si="14"/>
        <v>6</v>
      </c>
      <c r="N45" s="106">
        <f t="shared" si="15"/>
        <v>5</v>
      </c>
      <c r="O45" s="106">
        <f t="shared" si="15"/>
        <v>5</v>
      </c>
      <c r="P45" s="106">
        <f t="shared" si="15"/>
        <v>6</v>
      </c>
      <c r="Q45" s="106">
        <f t="shared" si="15"/>
        <v>5</v>
      </c>
      <c r="R45" s="106">
        <f t="shared" si="15"/>
        <v>6</v>
      </c>
      <c r="S45" s="106">
        <f t="shared" si="15"/>
        <v>5</v>
      </c>
      <c r="T45" s="106">
        <f t="shared" si="15"/>
        <v>6</v>
      </c>
      <c r="U45" s="106">
        <f t="shared" si="15"/>
        <v>5</v>
      </c>
      <c r="V45" s="106">
        <f t="shared" si="15"/>
        <v>5</v>
      </c>
      <c r="W45" s="106">
        <f t="shared" si="15"/>
        <v>6</v>
      </c>
      <c r="X45" s="106">
        <f t="shared" si="16"/>
        <v>5</v>
      </c>
      <c r="Y45" s="106">
        <f t="shared" si="16"/>
        <v>6</v>
      </c>
      <c r="Z45" s="106">
        <f t="shared" si="16"/>
        <v>5</v>
      </c>
      <c r="AA45" s="106">
        <f t="shared" si="16"/>
        <v>6</v>
      </c>
      <c r="AB45" s="106">
        <f>COUNTIF(AB$7:AB$43,$A45)</f>
        <v>5</v>
      </c>
      <c r="AC45" s="106">
        <f t="shared" si="16"/>
        <v>5</v>
      </c>
      <c r="AD45" s="106">
        <f t="shared" si="16"/>
        <v>6</v>
      </c>
      <c r="AE45" s="106">
        <f t="shared" si="16"/>
        <v>5</v>
      </c>
      <c r="AF45" s="106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</row>
    <row r="46" spans="1:46">
      <c r="A46" s="108" t="s">
        <v>4</v>
      </c>
      <c r="D46" s="106">
        <f t="shared" ref="D46:AE46" si="17">COUNTIF(D$6:D$43,"수면*")</f>
        <v>0</v>
      </c>
      <c r="E46" s="106">
        <f t="shared" si="17"/>
        <v>0</v>
      </c>
      <c r="F46" s="106">
        <f t="shared" si="17"/>
        <v>1</v>
      </c>
      <c r="G46" s="106">
        <f t="shared" si="17"/>
        <v>0</v>
      </c>
      <c r="H46" s="106">
        <f t="shared" si="17"/>
        <v>0</v>
      </c>
      <c r="I46" s="106">
        <f t="shared" si="17"/>
        <v>0</v>
      </c>
      <c r="J46" s="106">
        <f t="shared" si="17"/>
        <v>1</v>
      </c>
      <c r="K46" s="106">
        <f t="shared" si="17"/>
        <v>0</v>
      </c>
      <c r="L46" s="106">
        <f t="shared" si="17"/>
        <v>0</v>
      </c>
      <c r="M46" s="106">
        <f t="shared" si="17"/>
        <v>0</v>
      </c>
      <c r="N46" s="106">
        <f t="shared" si="17"/>
        <v>0</v>
      </c>
      <c r="O46" s="106">
        <f t="shared" si="17"/>
        <v>1</v>
      </c>
      <c r="P46" s="106">
        <f t="shared" si="17"/>
        <v>1</v>
      </c>
      <c r="Q46" s="106">
        <f t="shared" si="17"/>
        <v>0</v>
      </c>
      <c r="R46" s="106">
        <f t="shared" si="17"/>
        <v>0</v>
      </c>
      <c r="S46" s="106">
        <f t="shared" si="17"/>
        <v>0</v>
      </c>
      <c r="T46" s="106">
        <f t="shared" si="17"/>
        <v>0</v>
      </c>
      <c r="U46" s="106">
        <f t="shared" si="17"/>
        <v>0</v>
      </c>
      <c r="V46" s="106">
        <f t="shared" si="17"/>
        <v>0</v>
      </c>
      <c r="W46" s="106">
        <f t="shared" si="17"/>
        <v>0</v>
      </c>
      <c r="X46" s="106">
        <f t="shared" si="17"/>
        <v>0</v>
      </c>
      <c r="Y46" s="106">
        <f t="shared" si="17"/>
        <v>0</v>
      </c>
      <c r="Z46" s="106">
        <f t="shared" si="17"/>
        <v>0</v>
      </c>
      <c r="AA46" s="106">
        <f t="shared" si="17"/>
        <v>0</v>
      </c>
      <c r="AB46" s="106">
        <f>COUNTIF(AB$7:AB$43,"수면*")</f>
        <v>0</v>
      </c>
      <c r="AC46" s="106">
        <f t="shared" si="17"/>
        <v>1</v>
      </c>
      <c r="AD46" s="106">
        <f t="shared" si="17"/>
        <v>0</v>
      </c>
      <c r="AE46" s="106">
        <f t="shared" si="17"/>
        <v>0</v>
      </c>
      <c r="AF46" s="106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</row>
    <row r="47" spans="1:46">
      <c r="A47" s="108" t="s">
        <v>3</v>
      </c>
      <c r="D47" s="106">
        <f t="shared" ref="D47:AE47" si="18">COUNTIF(D$6:D$43,"생*")+COUNTIF(D$6:D$43,"산전*")</f>
        <v>3</v>
      </c>
      <c r="E47" s="106">
        <f t="shared" si="18"/>
        <v>0</v>
      </c>
      <c r="F47" s="106">
        <f t="shared" si="18"/>
        <v>2</v>
      </c>
      <c r="G47" s="106">
        <f t="shared" si="18"/>
        <v>1</v>
      </c>
      <c r="H47" s="106">
        <f t="shared" si="18"/>
        <v>0</v>
      </c>
      <c r="I47" s="106">
        <f t="shared" si="18"/>
        <v>1</v>
      </c>
      <c r="J47" s="106">
        <f t="shared" si="18"/>
        <v>2</v>
      </c>
      <c r="K47" s="106">
        <f t="shared" si="18"/>
        <v>1</v>
      </c>
      <c r="L47" s="106">
        <f t="shared" si="18"/>
        <v>0</v>
      </c>
      <c r="M47" s="106">
        <f t="shared" si="18"/>
        <v>2</v>
      </c>
      <c r="N47" s="106">
        <f t="shared" si="18"/>
        <v>0</v>
      </c>
      <c r="O47" s="106">
        <f t="shared" si="18"/>
        <v>0</v>
      </c>
      <c r="P47" s="106">
        <f t="shared" si="18"/>
        <v>1</v>
      </c>
      <c r="Q47" s="106">
        <f t="shared" si="18"/>
        <v>0</v>
      </c>
      <c r="R47" s="106">
        <f t="shared" si="18"/>
        <v>0</v>
      </c>
      <c r="S47" s="106">
        <f t="shared" si="18"/>
        <v>0</v>
      </c>
      <c r="T47" s="106">
        <f t="shared" si="18"/>
        <v>0</v>
      </c>
      <c r="U47" s="106">
        <f t="shared" si="18"/>
        <v>0</v>
      </c>
      <c r="V47" s="106">
        <f t="shared" si="18"/>
        <v>0</v>
      </c>
      <c r="W47" s="106">
        <f t="shared" si="18"/>
        <v>0</v>
      </c>
      <c r="X47" s="106">
        <f t="shared" si="18"/>
        <v>1</v>
      </c>
      <c r="Y47" s="106">
        <f t="shared" si="18"/>
        <v>3</v>
      </c>
      <c r="Z47" s="106">
        <f t="shared" si="18"/>
        <v>3</v>
      </c>
      <c r="AA47" s="106">
        <f t="shared" si="18"/>
        <v>0</v>
      </c>
      <c r="AB47" s="106">
        <f>COUNTIF(AB$7:AB$43,"생*")+COUNTIF(AB$7:AB$43,"산전*")</f>
        <v>1</v>
      </c>
      <c r="AC47" s="106">
        <f t="shared" si="18"/>
        <v>0</v>
      </c>
      <c r="AD47" s="106">
        <f t="shared" si="18"/>
        <v>0</v>
      </c>
      <c r="AE47" s="106">
        <f t="shared" si="18"/>
        <v>2</v>
      </c>
      <c r="AF47" s="106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</row>
    <row r="48" spans="1:46">
      <c r="A48" s="108" t="s">
        <v>22</v>
      </c>
      <c r="D48" s="106">
        <f t="shared" ref="D48:AE48" si="19">COUNTIF(D$6:D$43,"V*")+COUNTIF(D$6:D$43,"휴가")</f>
        <v>0</v>
      </c>
      <c r="E48" s="106">
        <f t="shared" si="19"/>
        <v>0</v>
      </c>
      <c r="F48" s="106">
        <f t="shared" si="19"/>
        <v>0</v>
      </c>
      <c r="G48" s="106">
        <f t="shared" si="19"/>
        <v>0</v>
      </c>
      <c r="H48" s="106">
        <f t="shared" si="19"/>
        <v>0</v>
      </c>
      <c r="I48" s="106">
        <f t="shared" si="19"/>
        <v>0</v>
      </c>
      <c r="J48" s="106">
        <f t="shared" si="19"/>
        <v>0</v>
      </c>
      <c r="K48" s="106">
        <f t="shared" si="19"/>
        <v>0</v>
      </c>
      <c r="L48" s="106">
        <f t="shared" si="19"/>
        <v>0</v>
      </c>
      <c r="M48" s="106">
        <f t="shared" si="19"/>
        <v>0</v>
      </c>
      <c r="N48" s="106">
        <f t="shared" si="19"/>
        <v>0</v>
      </c>
      <c r="O48" s="106">
        <f t="shared" si="19"/>
        <v>0</v>
      </c>
      <c r="P48" s="106">
        <f t="shared" si="19"/>
        <v>0</v>
      </c>
      <c r="Q48" s="106">
        <f t="shared" si="19"/>
        <v>1</v>
      </c>
      <c r="R48" s="106">
        <f t="shared" si="19"/>
        <v>0</v>
      </c>
      <c r="S48" s="106">
        <f t="shared" si="19"/>
        <v>0</v>
      </c>
      <c r="T48" s="106">
        <f t="shared" si="19"/>
        <v>0</v>
      </c>
      <c r="U48" s="106">
        <f t="shared" si="19"/>
        <v>0</v>
      </c>
      <c r="V48" s="106">
        <f t="shared" si="19"/>
        <v>0</v>
      </c>
      <c r="W48" s="106">
        <f t="shared" si="19"/>
        <v>0</v>
      </c>
      <c r="X48" s="106">
        <f t="shared" si="19"/>
        <v>0</v>
      </c>
      <c r="Y48" s="106">
        <f t="shared" si="19"/>
        <v>0</v>
      </c>
      <c r="Z48" s="106">
        <f t="shared" si="19"/>
        <v>1</v>
      </c>
      <c r="AA48" s="106">
        <f t="shared" si="19"/>
        <v>0</v>
      </c>
      <c r="AB48" s="106">
        <f>COUNTIF(AB$7:AB$43,"V*")+COUNTIF(AB$7:AB$43,"휴가")</f>
        <v>2</v>
      </c>
      <c r="AC48" s="106">
        <f t="shared" si="19"/>
        <v>0</v>
      </c>
      <c r="AD48" s="106">
        <f t="shared" si="19"/>
        <v>0</v>
      </c>
      <c r="AE48" s="106">
        <f t="shared" si="19"/>
        <v>1</v>
      </c>
      <c r="AF48" s="106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</row>
    <row r="49" spans="1:46">
      <c r="A49" s="108" t="s">
        <v>41</v>
      </c>
      <c r="D49" s="106">
        <f t="shared" ref="D49:AE49" si="20">COUNTIF(D$6:D$43,"공*")</f>
        <v>0</v>
      </c>
      <c r="E49" s="106">
        <f t="shared" si="20"/>
        <v>0</v>
      </c>
      <c r="F49" s="106">
        <f t="shared" si="20"/>
        <v>0</v>
      </c>
      <c r="G49" s="106">
        <f t="shared" si="20"/>
        <v>0</v>
      </c>
      <c r="H49" s="106">
        <f t="shared" si="20"/>
        <v>0</v>
      </c>
      <c r="I49" s="106">
        <f t="shared" si="20"/>
        <v>0</v>
      </c>
      <c r="J49" s="106">
        <f t="shared" si="20"/>
        <v>0</v>
      </c>
      <c r="K49" s="106">
        <f t="shared" si="20"/>
        <v>0</v>
      </c>
      <c r="L49" s="106">
        <f t="shared" si="20"/>
        <v>0</v>
      </c>
      <c r="M49" s="106">
        <f t="shared" si="20"/>
        <v>0</v>
      </c>
      <c r="N49" s="106">
        <f t="shared" si="20"/>
        <v>0</v>
      </c>
      <c r="O49" s="106">
        <f t="shared" si="20"/>
        <v>0</v>
      </c>
      <c r="P49" s="106">
        <f t="shared" si="20"/>
        <v>0</v>
      </c>
      <c r="Q49" s="106">
        <f t="shared" si="20"/>
        <v>0</v>
      </c>
      <c r="R49" s="106">
        <f t="shared" si="20"/>
        <v>0</v>
      </c>
      <c r="S49" s="106">
        <f t="shared" si="20"/>
        <v>0</v>
      </c>
      <c r="T49" s="106">
        <f t="shared" si="20"/>
        <v>0</v>
      </c>
      <c r="U49" s="106">
        <f t="shared" si="20"/>
        <v>0</v>
      </c>
      <c r="V49" s="106">
        <f t="shared" si="20"/>
        <v>0</v>
      </c>
      <c r="W49" s="106">
        <f t="shared" si="20"/>
        <v>0</v>
      </c>
      <c r="X49" s="106">
        <f t="shared" si="20"/>
        <v>0</v>
      </c>
      <c r="Y49" s="106">
        <f t="shared" si="20"/>
        <v>0</v>
      </c>
      <c r="Z49" s="106">
        <f t="shared" si="20"/>
        <v>0</v>
      </c>
      <c r="AA49" s="106">
        <f t="shared" si="20"/>
        <v>0</v>
      </c>
      <c r="AB49" s="106">
        <f>COUNTIF(AB$7:AB$43,"공*")</f>
        <v>0</v>
      </c>
      <c r="AC49" s="106">
        <f t="shared" si="20"/>
        <v>0</v>
      </c>
      <c r="AD49" s="106">
        <f t="shared" si="20"/>
        <v>0</v>
      </c>
      <c r="AE49" s="106">
        <f t="shared" si="20"/>
        <v>0</v>
      </c>
      <c r="AF49" s="106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</row>
    <row r="50" spans="1:46">
      <c r="A50" s="108" t="s">
        <v>26</v>
      </c>
      <c r="D50" s="106">
        <f t="shared" ref="D50:M51" si="21">COUNTIF(D$6:D$43,$A50)</f>
        <v>0</v>
      </c>
      <c r="E50" s="106">
        <f t="shared" si="21"/>
        <v>0</v>
      </c>
      <c r="F50" s="106">
        <f t="shared" si="21"/>
        <v>0</v>
      </c>
      <c r="G50" s="106">
        <f t="shared" si="21"/>
        <v>0</v>
      </c>
      <c r="H50" s="106">
        <f t="shared" si="21"/>
        <v>0</v>
      </c>
      <c r="I50" s="106">
        <f t="shared" si="21"/>
        <v>0</v>
      </c>
      <c r="J50" s="106">
        <f t="shared" si="21"/>
        <v>0</v>
      </c>
      <c r="K50" s="106">
        <f t="shared" si="21"/>
        <v>0</v>
      </c>
      <c r="L50" s="106">
        <f t="shared" si="21"/>
        <v>0</v>
      </c>
      <c r="M50" s="106">
        <f t="shared" si="21"/>
        <v>0</v>
      </c>
      <c r="N50" s="106">
        <f t="shared" ref="N50:W51" si="22">COUNTIF(N$6:N$43,$A50)</f>
        <v>0</v>
      </c>
      <c r="O50" s="106">
        <f t="shared" si="22"/>
        <v>0</v>
      </c>
      <c r="P50" s="106">
        <f t="shared" si="22"/>
        <v>0</v>
      </c>
      <c r="Q50" s="106">
        <f t="shared" si="22"/>
        <v>0</v>
      </c>
      <c r="R50" s="106">
        <f t="shared" si="22"/>
        <v>0</v>
      </c>
      <c r="S50" s="106">
        <f t="shared" si="22"/>
        <v>0</v>
      </c>
      <c r="T50" s="106">
        <f t="shared" si="22"/>
        <v>0</v>
      </c>
      <c r="U50" s="106">
        <f t="shared" si="22"/>
        <v>0</v>
      </c>
      <c r="V50" s="106">
        <f t="shared" si="22"/>
        <v>0</v>
      </c>
      <c r="W50" s="106">
        <f t="shared" si="22"/>
        <v>0</v>
      </c>
      <c r="X50" s="106">
        <f t="shared" ref="X50:AE51" si="23">COUNTIF(X$6:X$43,$A50)</f>
        <v>0</v>
      </c>
      <c r="Y50" s="106">
        <f t="shared" si="23"/>
        <v>0</v>
      </c>
      <c r="Z50" s="106">
        <f t="shared" si="23"/>
        <v>0</v>
      </c>
      <c r="AA50" s="106">
        <f t="shared" si="23"/>
        <v>0</v>
      </c>
      <c r="AB50" s="106">
        <f>COUNTIF(AB$7:AB$43,$A50)</f>
        <v>0</v>
      </c>
      <c r="AC50" s="106">
        <f t="shared" si="23"/>
        <v>0</v>
      </c>
      <c r="AD50" s="106">
        <f t="shared" si="23"/>
        <v>0</v>
      </c>
      <c r="AE50" s="106">
        <f t="shared" si="23"/>
        <v>0</v>
      </c>
      <c r="AF50" s="106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</row>
    <row r="51" spans="1:46">
      <c r="A51" s="108" t="s">
        <v>25</v>
      </c>
      <c r="D51" s="106">
        <f t="shared" si="21"/>
        <v>0</v>
      </c>
      <c r="E51" s="106">
        <f t="shared" si="21"/>
        <v>0</v>
      </c>
      <c r="F51" s="106">
        <f t="shared" si="21"/>
        <v>0</v>
      </c>
      <c r="G51" s="106">
        <f t="shared" si="21"/>
        <v>0</v>
      </c>
      <c r="H51" s="106">
        <f t="shared" si="21"/>
        <v>0</v>
      </c>
      <c r="I51" s="106">
        <f t="shared" si="21"/>
        <v>0</v>
      </c>
      <c r="J51" s="106">
        <f t="shared" si="21"/>
        <v>0</v>
      </c>
      <c r="K51" s="106">
        <f t="shared" si="21"/>
        <v>0</v>
      </c>
      <c r="L51" s="106">
        <f t="shared" si="21"/>
        <v>0</v>
      </c>
      <c r="M51" s="106">
        <f t="shared" si="21"/>
        <v>0</v>
      </c>
      <c r="N51" s="106">
        <f t="shared" si="22"/>
        <v>0</v>
      </c>
      <c r="O51" s="106">
        <f t="shared" si="22"/>
        <v>3</v>
      </c>
      <c r="P51" s="106">
        <f t="shared" si="22"/>
        <v>0</v>
      </c>
      <c r="Q51" s="106">
        <f t="shared" si="22"/>
        <v>0</v>
      </c>
      <c r="R51" s="106">
        <f t="shared" si="22"/>
        <v>0</v>
      </c>
      <c r="S51" s="106">
        <f t="shared" si="22"/>
        <v>0</v>
      </c>
      <c r="T51" s="106">
        <f t="shared" si="22"/>
        <v>0</v>
      </c>
      <c r="U51" s="106">
        <f t="shared" si="22"/>
        <v>0</v>
      </c>
      <c r="V51" s="106">
        <f t="shared" si="22"/>
        <v>0</v>
      </c>
      <c r="W51" s="106">
        <f t="shared" si="22"/>
        <v>0</v>
      </c>
      <c r="X51" s="106">
        <f t="shared" si="23"/>
        <v>0</v>
      </c>
      <c r="Y51" s="106">
        <f t="shared" si="23"/>
        <v>0</v>
      </c>
      <c r="Z51" s="106">
        <f t="shared" si="23"/>
        <v>0</v>
      </c>
      <c r="AA51" s="106">
        <f t="shared" si="23"/>
        <v>0</v>
      </c>
      <c r="AB51" s="106">
        <f>COUNTIF(AB$7:AB$43,$A51)</f>
        <v>0</v>
      </c>
      <c r="AC51" s="106">
        <f t="shared" si="23"/>
        <v>0</v>
      </c>
      <c r="AD51" s="106">
        <f t="shared" si="23"/>
        <v>0</v>
      </c>
      <c r="AE51" s="106">
        <f t="shared" si="23"/>
        <v>0</v>
      </c>
      <c r="AF51" s="106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</row>
    <row r="52" spans="1:46">
      <c r="A52" s="108" t="s">
        <v>32</v>
      </c>
      <c r="D52" s="106">
        <f t="shared" ref="D52:AE52" si="24">COUNTIF(D$6:D$43,"법*")</f>
        <v>0</v>
      </c>
      <c r="E52" s="106">
        <f t="shared" si="24"/>
        <v>0</v>
      </c>
      <c r="F52" s="106">
        <f t="shared" si="24"/>
        <v>0</v>
      </c>
      <c r="G52" s="106">
        <f t="shared" si="24"/>
        <v>0</v>
      </c>
      <c r="H52" s="106">
        <f t="shared" si="24"/>
        <v>0</v>
      </c>
      <c r="I52" s="106">
        <f t="shared" si="24"/>
        <v>0</v>
      </c>
      <c r="J52" s="106">
        <f t="shared" si="24"/>
        <v>0</v>
      </c>
      <c r="K52" s="106">
        <f t="shared" si="24"/>
        <v>0</v>
      </c>
      <c r="L52" s="106">
        <f t="shared" si="24"/>
        <v>0</v>
      </c>
      <c r="M52" s="106">
        <f t="shared" si="24"/>
        <v>0</v>
      </c>
      <c r="N52" s="106">
        <f t="shared" si="24"/>
        <v>0</v>
      </c>
      <c r="O52" s="106">
        <f t="shared" si="24"/>
        <v>0</v>
      </c>
      <c r="P52" s="106">
        <f t="shared" si="24"/>
        <v>0</v>
      </c>
      <c r="Q52" s="106">
        <f t="shared" si="24"/>
        <v>0</v>
      </c>
      <c r="R52" s="106">
        <f t="shared" si="24"/>
        <v>0</v>
      </c>
      <c r="S52" s="106">
        <f t="shared" si="24"/>
        <v>2</v>
      </c>
      <c r="T52" s="106">
        <f t="shared" si="24"/>
        <v>3</v>
      </c>
      <c r="U52" s="106">
        <f t="shared" si="24"/>
        <v>2</v>
      </c>
      <c r="V52" s="106">
        <f t="shared" si="24"/>
        <v>0</v>
      </c>
      <c r="W52" s="106">
        <f t="shared" si="24"/>
        <v>0</v>
      </c>
      <c r="X52" s="106">
        <f t="shared" si="24"/>
        <v>0</v>
      </c>
      <c r="Y52" s="106">
        <f t="shared" si="24"/>
        <v>0</v>
      </c>
      <c r="Z52" s="106">
        <f t="shared" si="24"/>
        <v>0</v>
      </c>
      <c r="AA52" s="106">
        <f t="shared" si="24"/>
        <v>0</v>
      </c>
      <c r="AB52" s="106">
        <f>COUNTIF(AB$7:AB$43,"법*")</f>
        <v>0</v>
      </c>
      <c r="AC52" s="106">
        <f t="shared" si="24"/>
        <v>0</v>
      </c>
      <c r="AD52" s="106">
        <f t="shared" si="24"/>
        <v>0</v>
      </c>
      <c r="AE52" s="106">
        <f t="shared" si="24"/>
        <v>0</v>
      </c>
      <c r="AF52" s="106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</row>
    <row r="53" spans="1:46">
      <c r="A53" s="108" t="s">
        <v>24</v>
      </c>
      <c r="D53" s="106">
        <f t="shared" ref="D53:AE53" si="25">COUNTIF(D$6:D$43,$A$53)</f>
        <v>0</v>
      </c>
      <c r="E53" s="106">
        <f t="shared" si="25"/>
        <v>0</v>
      </c>
      <c r="F53" s="106">
        <f t="shared" si="25"/>
        <v>0</v>
      </c>
      <c r="G53" s="106">
        <f t="shared" si="25"/>
        <v>0</v>
      </c>
      <c r="H53" s="106">
        <f t="shared" si="25"/>
        <v>0</v>
      </c>
      <c r="I53" s="106">
        <f t="shared" si="25"/>
        <v>0</v>
      </c>
      <c r="J53" s="106">
        <f t="shared" si="25"/>
        <v>0</v>
      </c>
      <c r="K53" s="106">
        <f t="shared" si="25"/>
        <v>0</v>
      </c>
      <c r="L53" s="106">
        <f t="shared" si="25"/>
        <v>0</v>
      </c>
      <c r="M53" s="106">
        <f t="shared" si="25"/>
        <v>0</v>
      </c>
      <c r="N53" s="106">
        <f t="shared" si="25"/>
        <v>0</v>
      </c>
      <c r="O53" s="106">
        <f t="shared" si="25"/>
        <v>0</v>
      </c>
      <c r="P53" s="106">
        <f t="shared" si="25"/>
        <v>0</v>
      </c>
      <c r="Q53" s="106">
        <f t="shared" si="25"/>
        <v>0</v>
      </c>
      <c r="R53" s="106">
        <f t="shared" si="25"/>
        <v>0</v>
      </c>
      <c r="S53" s="106">
        <f t="shared" si="25"/>
        <v>0</v>
      </c>
      <c r="T53" s="106">
        <f t="shared" si="25"/>
        <v>0</v>
      </c>
      <c r="U53" s="106">
        <f t="shared" si="25"/>
        <v>0</v>
      </c>
      <c r="V53" s="106">
        <f t="shared" si="25"/>
        <v>0</v>
      </c>
      <c r="W53" s="106">
        <f t="shared" si="25"/>
        <v>0</v>
      </c>
      <c r="X53" s="106">
        <f t="shared" si="25"/>
        <v>0</v>
      </c>
      <c r="Y53" s="106">
        <f t="shared" si="25"/>
        <v>0</v>
      </c>
      <c r="Z53" s="106">
        <f t="shared" si="25"/>
        <v>0</v>
      </c>
      <c r="AA53" s="106">
        <f t="shared" si="25"/>
        <v>0</v>
      </c>
      <c r="AB53" s="106">
        <f>COUNTIF(AB$7:AB$43,$A$53)</f>
        <v>0</v>
      </c>
      <c r="AC53" s="106">
        <f t="shared" si="25"/>
        <v>0</v>
      </c>
      <c r="AD53" s="106">
        <f t="shared" si="25"/>
        <v>0</v>
      </c>
      <c r="AE53" s="106">
        <f t="shared" si="25"/>
        <v>0</v>
      </c>
      <c r="AF53" s="106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</row>
    <row r="54" spans="1:46">
      <c r="A54" s="30"/>
      <c r="D54" s="104">
        <f t="shared" ref="D54:AE54" si="26">SUM(D44:D53)</f>
        <v>13</v>
      </c>
      <c r="E54" s="104">
        <f t="shared" si="26"/>
        <v>6</v>
      </c>
      <c r="F54" s="104">
        <f t="shared" si="26"/>
        <v>10</v>
      </c>
      <c r="G54" s="104">
        <f t="shared" si="26"/>
        <v>9</v>
      </c>
      <c r="H54" s="104">
        <f t="shared" si="26"/>
        <v>9</v>
      </c>
      <c r="I54" s="104">
        <f t="shared" si="26"/>
        <v>7</v>
      </c>
      <c r="J54" s="104">
        <f t="shared" si="26"/>
        <v>11</v>
      </c>
      <c r="K54" s="104">
        <f t="shared" si="26"/>
        <v>12</v>
      </c>
      <c r="L54" s="104">
        <f t="shared" si="26"/>
        <v>8</v>
      </c>
      <c r="M54" s="104">
        <f t="shared" si="26"/>
        <v>11</v>
      </c>
      <c r="N54" s="104">
        <f t="shared" si="26"/>
        <v>8</v>
      </c>
      <c r="O54" s="104">
        <f t="shared" si="26"/>
        <v>11</v>
      </c>
      <c r="P54" s="104">
        <f t="shared" si="26"/>
        <v>9</v>
      </c>
      <c r="Q54" s="104">
        <f t="shared" si="26"/>
        <v>6</v>
      </c>
      <c r="R54" s="104">
        <f t="shared" si="26"/>
        <v>7</v>
      </c>
      <c r="S54" s="104">
        <f t="shared" si="26"/>
        <v>7</v>
      </c>
      <c r="T54" s="104">
        <f t="shared" si="26"/>
        <v>9</v>
      </c>
      <c r="U54" s="104">
        <f t="shared" si="26"/>
        <v>7</v>
      </c>
      <c r="V54" s="104">
        <f t="shared" si="26"/>
        <v>8</v>
      </c>
      <c r="W54" s="104">
        <f t="shared" si="26"/>
        <v>8</v>
      </c>
      <c r="X54" s="104">
        <f t="shared" si="26"/>
        <v>10</v>
      </c>
      <c r="Y54" s="104">
        <f t="shared" si="26"/>
        <v>12</v>
      </c>
      <c r="Z54" s="104">
        <f t="shared" si="26"/>
        <v>12</v>
      </c>
      <c r="AA54" s="104">
        <f t="shared" si="26"/>
        <v>7</v>
      </c>
      <c r="AB54" s="104">
        <f t="shared" si="26"/>
        <v>9</v>
      </c>
      <c r="AC54" s="104">
        <f t="shared" si="26"/>
        <v>7</v>
      </c>
      <c r="AD54" s="104">
        <f t="shared" si="26"/>
        <v>8</v>
      </c>
      <c r="AE54" s="104">
        <f t="shared" si="26"/>
        <v>11</v>
      </c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</row>
    <row r="55" spans="1:46">
      <c r="A55" s="30"/>
      <c r="D55" s="104" t="str">
        <f t="shared" ref="D55:AE55" si="27">IF(D54&gt;9,D4,"")</f>
        <v>1일</v>
      </c>
      <c r="E55" s="104" t="str">
        <f t="shared" si="27"/>
        <v/>
      </c>
      <c r="F55" s="104" t="str">
        <f t="shared" si="27"/>
        <v>3일</v>
      </c>
      <c r="G55" s="104" t="str">
        <f t="shared" si="27"/>
        <v/>
      </c>
      <c r="H55" s="104" t="str">
        <f t="shared" si="27"/>
        <v/>
      </c>
      <c r="I55" s="104" t="str">
        <f t="shared" si="27"/>
        <v/>
      </c>
      <c r="J55" s="104" t="str">
        <f t="shared" si="27"/>
        <v>7일</v>
      </c>
      <c r="K55" s="104" t="str">
        <f t="shared" si="27"/>
        <v>8일</v>
      </c>
      <c r="L55" s="104" t="str">
        <f t="shared" si="27"/>
        <v/>
      </c>
      <c r="M55" s="104" t="str">
        <f t="shared" si="27"/>
        <v>10일</v>
      </c>
      <c r="N55" s="104" t="str">
        <f t="shared" si="27"/>
        <v/>
      </c>
      <c r="O55" s="104" t="str">
        <f t="shared" si="27"/>
        <v>12일</v>
      </c>
      <c r="P55" s="104" t="str">
        <f t="shared" si="27"/>
        <v/>
      </c>
      <c r="Q55" s="104" t="str">
        <f t="shared" si="27"/>
        <v/>
      </c>
      <c r="R55" s="104" t="str">
        <f t="shared" si="27"/>
        <v/>
      </c>
      <c r="S55" s="104" t="str">
        <f t="shared" si="27"/>
        <v/>
      </c>
      <c r="T55" s="104" t="str">
        <f t="shared" si="27"/>
        <v/>
      </c>
      <c r="U55" s="104" t="str">
        <f t="shared" si="27"/>
        <v/>
      </c>
      <c r="V55" s="104" t="str">
        <f t="shared" si="27"/>
        <v/>
      </c>
      <c r="W55" s="104" t="str">
        <f t="shared" si="27"/>
        <v/>
      </c>
      <c r="X55" s="104" t="str">
        <f t="shared" si="27"/>
        <v>21일</v>
      </c>
      <c r="Y55" s="104" t="str">
        <f t="shared" si="27"/>
        <v>22일</v>
      </c>
      <c r="Z55" s="104" t="str">
        <f t="shared" si="27"/>
        <v>23일</v>
      </c>
      <c r="AA55" s="104" t="str">
        <f t="shared" si="27"/>
        <v/>
      </c>
      <c r="AB55" s="104" t="str">
        <f t="shared" si="27"/>
        <v/>
      </c>
      <c r="AC55" s="104" t="str">
        <f t="shared" si="27"/>
        <v/>
      </c>
      <c r="AD55" s="104" t="str">
        <f t="shared" si="27"/>
        <v/>
      </c>
      <c r="AE55" s="104" t="str">
        <f t="shared" si="27"/>
        <v>28일</v>
      </c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</row>
  </sheetData>
  <dataConsolidate/>
  <mergeCells count="4">
    <mergeCell ref="A1:H1"/>
    <mergeCell ref="I1:AE1"/>
    <mergeCell ref="K2:V2"/>
    <mergeCell ref="AG2:AU3"/>
  </mergeCells>
  <phoneticPr fontId="3" type="noConversion"/>
  <conditionalFormatting sqref="R5:AD5 D5:P5 G3 D4:AE4">
    <cfRule type="containsText" dxfId="8" priority="17298" operator="containsText" text="생휴">
      <formula>NOT(ISERROR(SEARCH("생휴",D3)))</formula>
    </cfRule>
  </conditionalFormatting>
  <conditionalFormatting sqref="D44:AF53">
    <cfRule type="containsText" dxfId="7" priority="17297" operator="containsText" text="중">
      <formula>NOT(ISERROR(SEARCH("중",D44)))</formula>
    </cfRule>
  </conditionalFormatting>
  <conditionalFormatting sqref="Q5">
    <cfRule type="containsText" dxfId="6" priority="17296" operator="containsText" text="생휴">
      <formula>NOT(ISERROR(SEARCH("생휴",Q5)))</formula>
    </cfRule>
  </conditionalFormatting>
  <conditionalFormatting sqref="AF6:AF26 AF28:AF43">
    <cfRule type="cellIs" dxfId="5" priority="17295" operator="greaterThan">
      <formula>11</formula>
    </cfRule>
  </conditionalFormatting>
  <conditionalFormatting sqref="AA3">
    <cfRule type="containsText" dxfId="4" priority="17220" operator="containsText" text="생휴">
      <formula>NOT(ISERROR(SEARCH("생휴",AA3)))</formula>
    </cfRule>
  </conditionalFormatting>
  <conditionalFormatting sqref="AB3">
    <cfRule type="containsText" dxfId="3" priority="17219" operator="containsText" text="생휴">
      <formula>NOT(ISERROR(SEARCH("생휴",AB3)))</formula>
    </cfRule>
  </conditionalFormatting>
  <conditionalFormatting sqref="AC3">
    <cfRule type="containsText" dxfId="2" priority="17218" operator="containsText" text="생휴">
      <formula>NOT(ISERROR(SEARCH("생휴",AC3)))</formula>
    </cfRule>
  </conditionalFormatting>
  <conditionalFormatting sqref="AE5">
    <cfRule type="containsText" dxfId="1" priority="16871" operator="containsText" text="생휴">
      <formula>NOT(ISERROR(SEARCH("생휴",AE5)))</formula>
    </cfRule>
  </conditionalFormatting>
  <conditionalFormatting sqref="AF27">
    <cfRule type="cellIs" dxfId="0" priority="1" operator="greaterThan">
      <formula>11</formula>
    </cfRule>
  </conditionalFormatting>
  <dataValidations count="30">
    <dataValidation type="list" allowBlank="1" showInputMessage="1" showErrorMessage="1" sqref="AD7 X6 N6 V6 J11:K11 AB11 N10 R10 W21:X21 Y32 O25 V25 AE25 K18 X18 D18 D25 H22 G26 G24 Y22 K30 F30 H16 AE12 J17 O22 G11 M15:N15 AC6 P6 K28 X28 J9 W37 Z37 U27:V27 AA24 Z18 AC10:AD10 Z29 P16 AE38">
      <formula1>"OFF"</formula1>
    </dataValidation>
    <dataValidation type="list" allowBlank="1" showInputMessage="1" showErrorMessage="1" sqref="L15 R7 F6:G6 S6 AC7 U6 I11 T11 AA11 AD6 H7 I13 T21 AA32 AB40 M25 F22 F24:F25 L22:M22 L20 L6:M6 M14 J38">
      <formula1>"D"</formula1>
    </dataValidation>
    <dataValidation type="list" allowBlank="1" showInputMessage="1" showErrorMessage="1" sqref="T7 U11 S9:S10 T15">
      <formula1>"법휴"</formula1>
    </dataValidation>
    <dataValidation type="list" allowBlank="1" showInputMessage="1" showErrorMessage="1" sqref="T6">
      <formula1>"법"</formula1>
    </dataValidation>
    <dataValidation type="list" allowBlank="1" showInputMessage="1" showErrorMessage="1" sqref="F8 AE7 D14 D11 I6 M10 J13 Y18 X32 G25 F26 Z21:Z22 J30 K17 AE20 Y37 Z24 D39 P15 Y29 AB16 M38">
      <formula1>"생휴"</formula1>
    </dataValidation>
    <dataValidation type="list" allowBlank="1" showInputMessage="1" showErrorMessage="1" sqref="H8 K14 H14 X8 M8 E13 L13 Y13 D19 M19 L38">
      <formula1>"off"</formula1>
    </dataValidation>
    <dataValidation type="list" allowBlank="1" showInputMessage="1" showErrorMessage="1" sqref="J14">
      <formula1>"수면"</formula1>
    </dataValidation>
    <dataValidation type="list" allowBlank="1" showInputMessage="1" showErrorMessage="1" sqref="N20 N13:N14 U21 AA21 I40 N25 AB12 H12 O12 U9:V9 AC9 R15 D15 AC29 S16 N38">
      <formula1>"N"</formula1>
    </dataValidation>
    <dataValidation type="list" allowBlank="1" showInputMessage="1" showErrorMessage="1" sqref="O8">
      <formula1>"번표"</formula1>
    </dataValidation>
    <dataValidation type="list" allowBlank="1" showInputMessage="1" showErrorMessage="1" sqref="J6 AE6 AB24 AB29">
      <formula1>"VAC"</formula1>
    </dataValidation>
    <dataValidation type="list" allowBlank="1" showInputMessage="1" showErrorMessage="1" sqref="P11 O15">
      <formula1>"수면1"</formula1>
    </dataValidation>
    <dataValidation type="list" allowBlank="1" showInputMessage="1" showErrorMessage="1" sqref="F10">
      <formula1>"수면 1"</formula1>
    </dataValidation>
    <dataValidation type="list" allowBlank="1" showInputMessage="1" showErrorMessage="1" sqref="H6 O6">
      <formula1>"D, OFF"</formula1>
    </dataValidation>
    <dataValidation type="list" allowBlank="1" showInputMessage="1" showErrorMessage="1" sqref="D13 AB10">
      <formula1>"N제외, E"</formula1>
    </dataValidation>
    <dataValidation type="list" allowBlank="1" showInputMessage="1" showErrorMessage="1" sqref="Z13 Q6">
      <formula1>"vac"</formula1>
    </dataValidation>
    <dataValidation type="list" allowBlank="1" showInputMessage="1" showErrorMessage="1" sqref="X13">
      <formula1>"N제외,D,E,off"</formula1>
    </dataValidation>
    <dataValidation type="list" allowBlank="1" showInputMessage="1" showErrorMessage="1" sqref="G18">
      <formula1>"N 제외, D, E"</formula1>
    </dataValidation>
    <dataValidation type="list" allowBlank="1" showInputMessage="1" showErrorMessage="1" sqref="E18 L18">
      <formula1>"D 제외, E, N"</formula1>
    </dataValidation>
    <dataValidation type="list" allowBlank="1" showInputMessage="1" showErrorMessage="1" sqref="AB17:AC17 G19:H19 N19:O19 AB19:AC19 G17:H17 N17:O17">
      <formula1>"D제외, E, N"</formula1>
    </dataValidation>
    <dataValidation type="list" allowBlank="1" showInputMessage="1" showErrorMessage="1" sqref="AC25">
      <formula1>"수면(1월)"</formula1>
    </dataValidation>
    <dataValidation type="list" allowBlank="1" showInputMessage="1" showErrorMessage="1" sqref="O26 O28 O29">
      <formula1>"보수"</formula1>
    </dataValidation>
    <dataValidation type="list" allowBlank="1" showInputMessage="1" showErrorMessage="1" sqref="E12 L12 Z12 I9 X7 R16">
      <formula1>"E"</formula1>
    </dataValidation>
    <dataValidation type="list" allowBlank="1" showInputMessage="1" showErrorMessage="1" sqref="AA22">
      <formula1>"1월 수면"</formula1>
    </dataValidation>
    <dataValidation type="list" allowBlank="1" showInputMessage="1" showErrorMessage="1" sqref="L30 Y28 L24">
      <formula1>"D제외"</formula1>
    </dataValidation>
    <dataValidation type="list" allowBlank="1" showInputMessage="1" showErrorMessage="1" sqref="J28 W28 X24 X22">
      <formula1>"N제외"</formula1>
    </dataValidation>
    <dataValidation type="list" allowBlank="1" showInputMessage="1" showErrorMessage="1" sqref="M28">
      <formula1>"1월수면"</formula1>
    </dataValidation>
    <dataValidation type="list" allowBlank="1" showInputMessage="1" showErrorMessage="1" sqref="L28">
      <formula1>"D/OFF"</formula1>
    </dataValidation>
    <dataValidation type="list" allowBlank="1" showInputMessage="1" showErrorMessage="1" sqref="AB25">
      <formula1>"DorOFF"</formula1>
    </dataValidation>
    <dataValidation type="list" allowBlank="1" showInputMessage="1" showErrorMessage="1" sqref="L23">
      <formula1>"OFF, D"</formula1>
    </dataValidation>
    <dataValidation type="list" allowBlank="1" showInputMessage="1" showErrorMessage="1" sqref="M23">
      <formula1>"D제외, E, N ,OFF"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강남)응급의학과 의국</dc:creator>
  <cp:lastModifiedBy>강남)응급실</cp:lastModifiedBy>
  <dcterms:created xsi:type="dcterms:W3CDTF">2025-05-02T02:57:35Z</dcterms:created>
  <dcterms:modified xsi:type="dcterms:W3CDTF">2026-01-14T23:35:48Z</dcterms:modified>
</cp:coreProperties>
</file>