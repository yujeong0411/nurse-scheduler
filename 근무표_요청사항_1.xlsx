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hoiy\Downloads\"/>
    </mc:Choice>
  </mc:AlternateContent>
  <xr:revisionPtr revIDLastSave="0" documentId="13_ncr:1_{15E4E744-E925-4411-A811-A79EDFB0CE6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Sheet1!$A$5:$AU$55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43" i="1" l="1"/>
  <c r="AR43" i="1"/>
  <c r="AQ43" i="1"/>
  <c r="AP43" i="1"/>
  <c r="AO43" i="1"/>
  <c r="AN43" i="1"/>
  <c r="AU42" i="1"/>
  <c r="AT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U40" i="1"/>
  <c r="AT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U37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U36" i="1"/>
  <c r="AT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U34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U33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U22" i="1"/>
  <c r="AT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U21" i="1"/>
  <c r="AT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U20" i="1"/>
  <c r="AT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U19" i="1"/>
  <c r="AT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 l="1"/>
  <c r="AS43" i="1"/>
  <c r="AU43" i="1"/>
  <c r="AH43" i="1"/>
  <c r="AI43" i="1"/>
  <c r="AK43" i="1"/>
  <c r="AL43" i="1"/>
  <c r="AT43" i="1"/>
  <c r="AJ43" i="1"/>
  <c r="AG34" i="1"/>
  <c r="AG10" i="1"/>
  <c r="AG16" i="1"/>
  <c r="AG22" i="1"/>
  <c r="AG14" i="1"/>
  <c r="AG26" i="1"/>
  <c r="AG32" i="1"/>
  <c r="AG38" i="1"/>
  <c r="AG9" i="1"/>
  <c r="AG30" i="1"/>
  <c r="AG18" i="1"/>
  <c r="AG42" i="1"/>
  <c r="AG37" i="1"/>
  <c r="AG21" i="1"/>
  <c r="AG19" i="1"/>
  <c r="AG35" i="1"/>
  <c r="AG20" i="1"/>
  <c r="AG25" i="1"/>
  <c r="AG36" i="1"/>
  <c r="AG41" i="1"/>
  <c r="AG15" i="1"/>
  <c r="AG31" i="1"/>
  <c r="AG11" i="1"/>
  <c r="AG27" i="1"/>
  <c r="AG12" i="1"/>
  <c r="AG17" i="1"/>
  <c r="AG28" i="1"/>
  <c r="AG33" i="1"/>
  <c r="AG7" i="1"/>
  <c r="AG23" i="1"/>
  <c r="AG39" i="1"/>
  <c r="AG13" i="1"/>
  <c r="AG8" i="1"/>
  <c r="AG24" i="1"/>
  <c r="AG29" i="1"/>
  <c r="AG40" i="1"/>
  <c r="AG43" i="1" l="1"/>
  <c r="J1" i="1"/>
</calcChain>
</file>

<file path=xl/sharedStrings.xml><?xml version="1.0" encoding="utf-8"?>
<sst xmlns="http://schemas.openxmlformats.org/spreadsheetml/2006/main" count="382" uniqueCount="132">
  <si>
    <r>
      <t xml:space="preserve">일(OFF, 주, 수면, 생휴, VAC, 필수, 보수, 법)
</t>
    </r>
    <r>
      <rPr>
        <b/>
        <sz val="12"/>
        <color rgb="FFFF0000"/>
        <rFont val="맑은 고딕"/>
        <family val="3"/>
        <charset val="129"/>
        <scheme val="minor"/>
      </rPr>
      <t xml:space="preserve">9개 까지 가능. 10개 이상 시 날짜 표기됨. </t>
    </r>
    <phoneticPr fontId="3" type="noConversion"/>
  </si>
  <si>
    <t xml:space="preserve">                                                                                                             </t>
    <phoneticPr fontId="7" type="noConversion"/>
  </si>
  <si>
    <t>간호사 38(파트장포함)</t>
    <phoneticPr fontId="3" type="noConversion"/>
  </si>
  <si>
    <t>1일</t>
    <phoneticPr fontId="3" type="noConversion"/>
  </si>
  <si>
    <t>2일</t>
    <phoneticPr fontId="3" type="noConversion"/>
  </si>
  <si>
    <t>3일</t>
    <phoneticPr fontId="3" type="noConversion"/>
  </si>
  <si>
    <t>4일</t>
    <phoneticPr fontId="3" type="noConversion"/>
  </si>
  <si>
    <t>5일</t>
    <phoneticPr fontId="3" type="noConversion"/>
  </si>
  <si>
    <t>6일</t>
    <phoneticPr fontId="3" type="noConversion"/>
  </si>
  <si>
    <t>7일</t>
    <phoneticPr fontId="3" type="noConversion"/>
  </si>
  <si>
    <t>8일</t>
    <phoneticPr fontId="3" type="noConversion"/>
  </si>
  <si>
    <t>9일</t>
    <phoneticPr fontId="3" type="noConversion"/>
  </si>
  <si>
    <t>10일</t>
    <phoneticPr fontId="3" type="noConversion"/>
  </si>
  <si>
    <t>11일</t>
    <phoneticPr fontId="3" type="noConversion"/>
  </si>
  <si>
    <t>12일</t>
    <phoneticPr fontId="3" type="noConversion"/>
  </si>
  <si>
    <t>13일</t>
    <phoneticPr fontId="3" type="noConversion"/>
  </si>
  <si>
    <t>14일</t>
    <phoneticPr fontId="3" type="noConversion"/>
  </si>
  <si>
    <t>15일</t>
    <phoneticPr fontId="3" type="noConversion"/>
  </si>
  <si>
    <t>16일</t>
    <phoneticPr fontId="3" type="noConversion"/>
  </si>
  <si>
    <t>17일</t>
    <phoneticPr fontId="3" type="noConversion"/>
  </si>
  <si>
    <t>18일</t>
    <phoneticPr fontId="3" type="noConversion"/>
  </si>
  <si>
    <t>19일</t>
    <phoneticPr fontId="3" type="noConversion"/>
  </si>
  <si>
    <t>20일</t>
    <phoneticPr fontId="3" type="noConversion"/>
  </si>
  <si>
    <t>21일</t>
    <phoneticPr fontId="3" type="noConversion"/>
  </si>
  <si>
    <t>22일</t>
    <phoneticPr fontId="3" type="noConversion"/>
  </si>
  <si>
    <t>23일</t>
    <phoneticPr fontId="3" type="noConversion"/>
  </si>
  <si>
    <t>24일</t>
    <phoneticPr fontId="3" type="noConversion"/>
  </si>
  <si>
    <t>25일</t>
    <phoneticPr fontId="3" type="noConversion"/>
  </si>
  <si>
    <t>26일</t>
    <phoneticPr fontId="3" type="noConversion"/>
  </si>
  <si>
    <t>27일</t>
    <phoneticPr fontId="3" type="noConversion"/>
  </si>
  <si>
    <t>28일</t>
    <phoneticPr fontId="3" type="noConversion"/>
  </si>
  <si>
    <t>생휴</t>
    <phoneticPr fontId="3" type="noConversion"/>
  </si>
  <si>
    <t>수면</t>
    <phoneticPr fontId="3" type="noConversion"/>
  </si>
  <si>
    <t>일</t>
  </si>
  <si>
    <t>월</t>
    <phoneticPr fontId="7" type="noConversion"/>
  </si>
  <si>
    <t>화</t>
  </si>
  <si>
    <t>수</t>
  </si>
  <si>
    <t>목</t>
  </si>
  <si>
    <t>금</t>
    <phoneticPr fontId="3" type="noConversion"/>
  </si>
  <si>
    <t>토</t>
  </si>
  <si>
    <t>월</t>
  </si>
  <si>
    <t>화</t>
    <phoneticPr fontId="7" type="noConversion"/>
  </si>
  <si>
    <t>목</t>
    <phoneticPr fontId="3" type="noConversion"/>
  </si>
  <si>
    <t>금</t>
  </si>
  <si>
    <t>총 OFF</t>
    <phoneticPr fontId="3" type="noConversion"/>
  </si>
  <si>
    <t>주</t>
    <phoneticPr fontId="3" type="noConversion"/>
  </si>
  <si>
    <t>OFF</t>
    <phoneticPr fontId="3" type="noConversion"/>
  </si>
  <si>
    <t>법</t>
    <phoneticPr fontId="3" type="noConversion"/>
  </si>
  <si>
    <t>경가</t>
    <phoneticPr fontId="3" type="noConversion"/>
  </si>
  <si>
    <t>공</t>
    <phoneticPr fontId="3" type="noConversion"/>
  </si>
  <si>
    <t>vac</t>
    <phoneticPr fontId="3" type="noConversion"/>
  </si>
  <si>
    <t>생</t>
    <phoneticPr fontId="3" type="noConversion"/>
  </si>
  <si>
    <t>D9</t>
    <phoneticPr fontId="3" type="noConversion"/>
  </si>
  <si>
    <t>보수</t>
    <phoneticPr fontId="3" type="noConversion"/>
  </si>
  <si>
    <t>필수</t>
    <phoneticPr fontId="3" type="noConversion"/>
  </si>
  <si>
    <t>D</t>
    <phoneticPr fontId="3" type="noConversion"/>
  </si>
  <si>
    <t>E</t>
    <phoneticPr fontId="3" type="noConversion"/>
  </si>
  <si>
    <t>N</t>
    <phoneticPr fontId="3" type="noConversion"/>
  </si>
  <si>
    <t>이경희</t>
    <phoneticPr fontId="3" type="noConversion"/>
  </si>
  <si>
    <t>주</t>
  </si>
  <si>
    <t>오선영</t>
    <phoneticPr fontId="3" type="noConversion"/>
  </si>
  <si>
    <t>우영미</t>
    <phoneticPr fontId="3" type="noConversion"/>
  </si>
  <si>
    <t>전상배</t>
    <phoneticPr fontId="3" type="noConversion"/>
  </si>
  <si>
    <t>안일심</t>
    <phoneticPr fontId="7" type="noConversion"/>
  </si>
  <si>
    <t>조은애</t>
    <phoneticPr fontId="3" type="noConversion"/>
  </si>
  <si>
    <t>우혜린</t>
    <phoneticPr fontId="3" type="noConversion"/>
  </si>
  <si>
    <t>유지연</t>
    <phoneticPr fontId="3" type="noConversion"/>
  </si>
  <si>
    <t>서희정</t>
    <phoneticPr fontId="3" type="noConversion"/>
  </si>
  <si>
    <t>김도연</t>
    <phoneticPr fontId="3" type="noConversion"/>
  </si>
  <si>
    <t>전선영</t>
    <phoneticPr fontId="3" type="noConversion"/>
  </si>
  <si>
    <t>이은지</t>
    <phoneticPr fontId="3" type="noConversion"/>
  </si>
  <si>
    <t>박동희</t>
    <phoneticPr fontId="3" type="noConversion"/>
  </si>
  <si>
    <t>우경희</t>
    <phoneticPr fontId="3" type="noConversion"/>
  </si>
  <si>
    <t>김효선</t>
    <phoneticPr fontId="3" type="noConversion"/>
  </si>
  <si>
    <t>김소원</t>
    <phoneticPr fontId="3" type="noConversion"/>
  </si>
  <si>
    <t>김은지</t>
    <phoneticPr fontId="3" type="noConversion"/>
  </si>
  <si>
    <t>심승현</t>
    <phoneticPr fontId="3" type="noConversion"/>
  </si>
  <si>
    <t>최민정</t>
    <phoneticPr fontId="3" type="noConversion"/>
  </si>
  <si>
    <t>차승현</t>
    <phoneticPr fontId="3" type="noConversion"/>
  </si>
  <si>
    <t>한소연</t>
    <phoneticPr fontId="3" type="noConversion"/>
  </si>
  <si>
    <t>송은지</t>
    <phoneticPr fontId="3" type="noConversion"/>
  </si>
  <si>
    <t>강라원</t>
    <phoneticPr fontId="3" type="noConversion"/>
  </si>
  <si>
    <t>허란</t>
    <phoneticPr fontId="3" type="noConversion"/>
  </si>
  <si>
    <t>설희원</t>
    <phoneticPr fontId="7" type="noConversion"/>
  </si>
  <si>
    <t>황지현</t>
    <phoneticPr fontId="3" type="noConversion"/>
  </si>
  <si>
    <t>김윤정</t>
    <phoneticPr fontId="3" type="noConversion"/>
  </si>
  <si>
    <t>이유진</t>
    <phoneticPr fontId="3" type="noConversion"/>
  </si>
  <si>
    <t>이창성</t>
    <phoneticPr fontId="3" type="noConversion"/>
  </si>
  <si>
    <t>백지선</t>
    <phoneticPr fontId="3" type="noConversion"/>
  </si>
  <si>
    <t>정진우</t>
    <phoneticPr fontId="3" type="noConversion"/>
  </si>
  <si>
    <t>김민아</t>
    <phoneticPr fontId="3" type="noConversion"/>
  </si>
  <si>
    <t>장미선</t>
    <phoneticPr fontId="3" type="noConversion"/>
  </si>
  <si>
    <t>최다희</t>
    <phoneticPr fontId="3" type="noConversion"/>
  </si>
  <si>
    <t>신성민</t>
    <phoneticPr fontId="3" type="noConversion"/>
  </si>
  <si>
    <t>박준영</t>
    <phoneticPr fontId="3" type="noConversion"/>
  </si>
  <si>
    <t>홍시호</t>
    <phoneticPr fontId="3" type="noConversion"/>
  </si>
  <si>
    <t>손수연</t>
    <phoneticPr fontId="3" type="noConversion"/>
  </si>
  <si>
    <t>2026.03.01-26.03.28</t>
    <phoneticPr fontId="3" type="noConversion"/>
  </si>
  <si>
    <t>OFF</t>
    <phoneticPr fontId="3" type="noConversion"/>
  </si>
  <si>
    <t>D</t>
    <phoneticPr fontId="3" type="noConversion"/>
  </si>
  <si>
    <t>생휴</t>
    <phoneticPr fontId="3" type="noConversion"/>
  </si>
  <si>
    <t>보수</t>
    <phoneticPr fontId="3" type="noConversion"/>
  </si>
  <si>
    <t>D</t>
    <phoneticPr fontId="3" type="noConversion"/>
  </si>
  <si>
    <t>off</t>
    <phoneticPr fontId="3" type="noConversion"/>
  </si>
  <si>
    <t>생휴</t>
    <phoneticPr fontId="3" type="noConversion"/>
  </si>
  <si>
    <t>D</t>
  </si>
  <si>
    <t>OFF</t>
  </si>
  <si>
    <t>법</t>
  </si>
  <si>
    <t>off</t>
  </si>
  <si>
    <t>공가</t>
  </si>
  <si>
    <t>생휴</t>
  </si>
  <si>
    <t>보수</t>
  </si>
  <si>
    <t>N제외</t>
  </si>
  <si>
    <t>N</t>
    <phoneticPr fontId="3" type="noConversion"/>
  </si>
  <si>
    <t>OFF</t>
    <phoneticPr fontId="3" type="noConversion"/>
  </si>
  <si>
    <t>VAC</t>
    <phoneticPr fontId="3" type="noConversion"/>
  </si>
  <si>
    <t>VAC</t>
  </si>
  <si>
    <t>D제외</t>
  </si>
  <si>
    <t>주</t>
    <phoneticPr fontId="3" type="noConversion"/>
  </si>
  <si>
    <t>N</t>
  </si>
  <si>
    <t>E</t>
  </si>
  <si>
    <t>수면</t>
  </si>
  <si>
    <t>D 제외</t>
  </si>
  <si>
    <t>OFF</t>
    <phoneticPr fontId="3" type="noConversion"/>
  </si>
  <si>
    <t>off</t>
    <phoneticPr fontId="3" type="noConversion"/>
  </si>
  <si>
    <t>vac</t>
    <phoneticPr fontId="3" type="noConversion"/>
  </si>
  <si>
    <t>수면Off(2월)</t>
  </si>
  <si>
    <t>수면(2월)</t>
    <phoneticPr fontId="3" type="noConversion"/>
  </si>
  <si>
    <t>수면off(1-2월)</t>
    <phoneticPr fontId="3" type="noConversion"/>
  </si>
  <si>
    <t>1,2월 수면</t>
    <phoneticPr fontId="3" type="noConversion"/>
  </si>
  <si>
    <t>휴가</t>
    <phoneticPr fontId="3" type="noConversion"/>
  </si>
  <si>
    <t>이름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</si>
</sst>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25"/>
      <color rgb="FFFF000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4"/>
      <color rgb="FF000000"/>
      <name val="새굴림"/>
      <family val="1"/>
      <charset val="129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0"/>
      <color rgb="FF000000"/>
      <name val="새굴림"/>
      <family val="1"/>
      <charset val="129"/>
    </font>
    <font>
      <b/>
      <sz val="18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6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6"/>
      <color rgb="FF000000"/>
      <name val="새굴림"/>
      <family val="1"/>
      <charset val="129"/>
    </font>
    <font>
      <sz val="6"/>
      <color rgb="FFFF0000"/>
      <name val="맑은 고딕"/>
      <family val="3"/>
      <charset val="129"/>
    </font>
    <font>
      <sz val="6"/>
      <color theme="1"/>
      <name val="맑은 고딕"/>
      <family val="3"/>
      <charset val="129"/>
    </font>
    <font>
      <b/>
      <sz val="6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0"/>
      <color rgb="FFFF0000"/>
      <name val="새굴림"/>
      <family val="1"/>
      <charset val="129"/>
    </font>
    <font>
      <b/>
      <sz val="10"/>
      <color theme="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0"/>
      <name val="새굴림"/>
      <family val="1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rgb="FF000000"/>
      <name val="새굴림"/>
      <family val="1"/>
      <charset val="129"/>
    </font>
    <font>
      <sz val="9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2"/>
      <name val="맑은 고딕"/>
      <family val="3"/>
      <charset val="129"/>
    </font>
    <font>
      <sz val="9"/>
      <name val="맑은 고딕"/>
      <family val="3"/>
      <charset val="129"/>
    </font>
    <font>
      <sz val="6"/>
      <name val="맑은 고딕"/>
      <family val="3"/>
      <charset val="129"/>
    </font>
    <font>
      <b/>
      <sz val="8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 diagonalUp="1" diagonalDown="1"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 diagonalUp="1" diagonalDown="1"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0" fillId="0" borderId="0">
      <alignment vertical="center"/>
    </xf>
  </cellStyleXfs>
  <cellXfs count="16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6" fillId="0" borderId="1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10" fillId="0" borderId="0" xfId="2">
      <alignment vertical="center"/>
    </xf>
    <xf numFmtId="0" fontId="11" fillId="0" borderId="0" xfId="2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6" fillId="3" borderId="5" xfId="1" applyFont="1" applyFill="1" applyBorder="1" applyAlignment="1">
      <alignment horizontal="center" vertical="center"/>
    </xf>
    <xf numFmtId="0" fontId="17" fillId="4" borderId="5" xfId="1" applyFont="1" applyFill="1" applyBorder="1" applyAlignment="1">
      <alignment horizontal="center" vertical="center"/>
    </xf>
    <xf numFmtId="0" fontId="18" fillId="3" borderId="5" xfId="1" applyFont="1" applyFill="1" applyBorder="1" applyAlignment="1">
      <alignment horizontal="center" vertical="center" wrapText="1"/>
    </xf>
    <xf numFmtId="0" fontId="19" fillId="3" borderId="5" xfId="1" applyFont="1" applyFill="1" applyBorder="1" applyAlignment="1">
      <alignment horizontal="center" vertical="center"/>
    </xf>
    <xf numFmtId="0" fontId="20" fillId="3" borderId="6" xfId="1" applyFont="1" applyFill="1" applyBorder="1" applyAlignment="1">
      <alignment horizontal="center" vertical="center"/>
    </xf>
    <xf numFmtId="0" fontId="21" fillId="3" borderId="4" xfId="1" applyFont="1" applyFill="1" applyBorder="1" applyAlignment="1">
      <alignment horizontal="center" vertical="center"/>
    </xf>
    <xf numFmtId="0" fontId="18" fillId="3" borderId="5" xfId="1" applyFont="1" applyFill="1" applyBorder="1" applyAlignment="1">
      <alignment horizontal="center" vertical="center"/>
    </xf>
    <xf numFmtId="0" fontId="22" fillId="3" borderId="5" xfId="1" applyFont="1" applyFill="1" applyBorder="1" applyAlignment="1">
      <alignment horizontal="center" vertical="center"/>
    </xf>
    <xf numFmtId="0" fontId="23" fillId="3" borderId="5" xfId="1" applyFont="1" applyFill="1" applyBorder="1" applyAlignment="1">
      <alignment horizontal="center" vertical="center"/>
    </xf>
    <xf numFmtId="0" fontId="18" fillId="3" borderId="6" xfId="1" applyFont="1" applyFill="1" applyBorder="1" applyAlignment="1">
      <alignment horizontal="center" vertical="center"/>
    </xf>
    <xf numFmtId="0" fontId="19" fillId="3" borderId="4" xfId="1" applyFont="1" applyFill="1" applyBorder="1" applyAlignment="1">
      <alignment horizontal="center" vertical="center"/>
    </xf>
    <xf numFmtId="0" fontId="24" fillId="4" borderId="5" xfId="1" applyFont="1" applyFill="1" applyBorder="1" applyAlignment="1">
      <alignment horizontal="center" vertical="center"/>
    </xf>
    <xf numFmtId="0" fontId="25" fillId="3" borderId="5" xfId="2" applyFont="1" applyFill="1" applyBorder="1">
      <alignment vertical="center"/>
    </xf>
    <xf numFmtId="0" fontId="21" fillId="2" borderId="6" xfId="1" applyFont="1" applyFill="1" applyBorder="1" applyAlignment="1">
      <alignment horizontal="center" vertical="center"/>
    </xf>
    <xf numFmtId="0" fontId="26" fillId="0" borderId="7" xfId="1" applyFont="1" applyBorder="1" applyAlignment="1">
      <alignment horizontal="center" vertical="center"/>
    </xf>
    <xf numFmtId="0" fontId="26" fillId="0" borderId="8" xfId="1" applyFont="1" applyBorder="1" applyAlignment="1">
      <alignment horizontal="center" vertical="center"/>
    </xf>
    <xf numFmtId="0" fontId="26" fillId="0" borderId="9" xfId="1" applyFont="1" applyBorder="1" applyAlignment="1">
      <alignment horizontal="center" vertical="center"/>
    </xf>
    <xf numFmtId="0" fontId="24" fillId="4" borderId="10" xfId="1" applyFont="1" applyFill="1" applyBorder="1" applyAlignment="1">
      <alignment horizontal="center" vertical="center"/>
    </xf>
    <xf numFmtId="0" fontId="27" fillId="4" borderId="11" xfId="1" applyFont="1" applyFill="1" applyBorder="1" applyAlignment="1">
      <alignment horizontal="center" vertical="center"/>
    </xf>
    <xf numFmtId="0" fontId="27" fillId="4" borderId="12" xfId="1" applyFont="1" applyFill="1" applyBorder="1" applyAlignment="1">
      <alignment horizontal="center" vertical="center"/>
    </xf>
    <xf numFmtId="0" fontId="24" fillId="4" borderId="11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13" xfId="1" applyFont="1" applyBorder="1" applyAlignment="1">
      <alignment horizontal="center" vertical="center"/>
    </xf>
    <xf numFmtId="0" fontId="26" fillId="0" borderId="14" xfId="1" applyFont="1" applyBorder="1" applyAlignment="1">
      <alignment horizontal="center" vertical="center"/>
    </xf>
    <xf numFmtId="0" fontId="26" fillId="0" borderId="15" xfId="1" applyFont="1" applyBorder="1" applyAlignment="1">
      <alignment horizontal="center" vertical="center"/>
    </xf>
    <xf numFmtId="0" fontId="24" fillId="5" borderId="16" xfId="1" applyFont="1" applyFill="1" applyBorder="1" applyAlignment="1">
      <alignment horizontal="center" vertical="center"/>
    </xf>
    <xf numFmtId="0" fontId="27" fillId="5" borderId="17" xfId="1" applyFont="1" applyFill="1" applyBorder="1" applyAlignment="1">
      <alignment horizontal="center" vertical="center"/>
    </xf>
    <xf numFmtId="0" fontId="27" fillId="5" borderId="18" xfId="1" applyFont="1" applyFill="1" applyBorder="1" applyAlignment="1">
      <alignment horizontal="center" vertical="center"/>
    </xf>
    <xf numFmtId="0" fontId="27" fillId="2" borderId="17" xfId="1" applyFont="1" applyFill="1" applyBorder="1" applyAlignment="1">
      <alignment horizontal="center" vertical="center"/>
    </xf>
    <xf numFmtId="0" fontId="24" fillId="2" borderId="16" xfId="1" applyFont="1" applyFill="1" applyBorder="1" applyAlignment="1">
      <alignment horizontal="center" vertical="center"/>
    </xf>
    <xf numFmtId="0" fontId="27" fillId="6" borderId="17" xfId="1" applyFont="1" applyFill="1" applyBorder="1" applyAlignment="1">
      <alignment horizontal="center" vertical="center"/>
    </xf>
    <xf numFmtId="0" fontId="27" fillId="3" borderId="18" xfId="1" applyFont="1" applyFill="1" applyBorder="1" applyAlignment="1">
      <alignment horizontal="center" vertical="center"/>
    </xf>
    <xf numFmtId="0" fontId="24" fillId="6" borderId="16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8" fillId="5" borderId="23" xfId="1" applyFont="1" applyFill="1" applyBorder="1" applyAlignment="1">
      <alignment horizontal="center" vertical="center"/>
    </xf>
    <xf numFmtId="0" fontId="28" fillId="5" borderId="8" xfId="1" applyFont="1" applyFill="1" applyBorder="1" applyAlignment="1">
      <alignment horizontal="center" vertical="center" shrinkToFit="1"/>
    </xf>
    <xf numFmtId="0" fontId="28" fillId="5" borderId="9" xfId="1" applyFont="1" applyFill="1" applyBorder="1" applyAlignment="1">
      <alignment horizontal="center" vertical="center" shrinkToFit="1"/>
    </xf>
    <xf numFmtId="0" fontId="29" fillId="3" borderId="4" xfId="1" applyFont="1" applyFill="1" applyBorder="1" applyAlignment="1">
      <alignment horizontal="center" vertical="center" shrinkToFit="1"/>
    </xf>
    <xf numFmtId="0" fontId="29" fillId="3" borderId="5" xfId="1" applyFont="1" applyFill="1" applyBorder="1" applyAlignment="1">
      <alignment horizontal="center" vertical="center" shrinkToFit="1"/>
    </xf>
    <xf numFmtId="0" fontId="29" fillId="3" borderId="6" xfId="1" applyFont="1" applyFill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8" fillId="5" borderId="26" xfId="1" applyFont="1" applyFill="1" applyBorder="1" applyAlignment="1">
      <alignment horizontal="center" vertical="center"/>
    </xf>
    <xf numFmtId="0" fontId="28" fillId="5" borderId="27" xfId="1" applyFont="1" applyFill="1" applyBorder="1" applyAlignment="1">
      <alignment horizontal="center" vertical="center" shrinkToFit="1"/>
    </xf>
    <xf numFmtId="0" fontId="28" fillId="5" borderId="7" xfId="1" applyFont="1" applyFill="1" applyBorder="1" applyAlignment="1">
      <alignment horizontal="center" vertical="center" shrinkToFit="1"/>
    </xf>
    <xf numFmtId="0" fontId="29" fillId="3" borderId="10" xfId="1" applyFont="1" applyFill="1" applyBorder="1" applyAlignment="1">
      <alignment horizontal="center" vertical="center" shrinkToFit="1"/>
    </xf>
    <xf numFmtId="0" fontId="29" fillId="3" borderId="11" xfId="1" applyFont="1" applyFill="1" applyBorder="1" applyAlignment="1">
      <alignment horizontal="center" vertical="center" shrinkToFit="1"/>
    </xf>
    <xf numFmtId="0" fontId="29" fillId="3" borderId="12" xfId="1" applyFont="1" applyFill="1" applyBorder="1" applyAlignment="1">
      <alignment horizontal="center" vertical="center" shrinkToFit="1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8" fillId="2" borderId="27" xfId="1" applyFont="1" applyFill="1" applyBorder="1" applyAlignment="1">
      <alignment horizontal="center" vertical="center" shrinkToFit="1"/>
    </xf>
    <xf numFmtId="0" fontId="28" fillId="2" borderId="26" xfId="1" applyFont="1" applyFill="1" applyBorder="1" applyAlignment="1">
      <alignment horizontal="center" vertical="center"/>
    </xf>
    <xf numFmtId="0" fontId="28" fillId="2" borderId="7" xfId="1" applyFont="1" applyFill="1" applyBorder="1" applyAlignment="1">
      <alignment horizontal="center" vertical="center" shrinkToFit="1"/>
    </xf>
    <xf numFmtId="0" fontId="28" fillId="5" borderId="30" xfId="1" applyFont="1" applyFill="1" applyBorder="1" applyAlignment="1">
      <alignment horizontal="center" vertical="center"/>
    </xf>
    <xf numFmtId="0" fontId="28" fillId="5" borderId="31" xfId="1" applyFont="1" applyFill="1" applyBorder="1" applyAlignment="1">
      <alignment horizontal="center" vertical="center" shrinkToFit="1"/>
    </xf>
    <xf numFmtId="0" fontId="28" fillId="5" borderId="32" xfId="1" applyFont="1" applyFill="1" applyBorder="1" applyAlignment="1">
      <alignment horizontal="center" vertical="center" shrinkToFit="1"/>
    </xf>
    <xf numFmtId="0" fontId="28" fillId="0" borderId="30" xfId="1" applyFont="1" applyBorder="1" applyAlignment="1">
      <alignment horizontal="center" vertical="center"/>
    </xf>
    <xf numFmtId="0" fontId="28" fillId="0" borderId="31" xfId="1" applyFont="1" applyBorder="1" applyAlignment="1">
      <alignment horizontal="center" vertical="center" shrinkToFit="1"/>
    </xf>
    <xf numFmtId="0" fontId="28" fillId="0" borderId="15" xfId="1" applyFont="1" applyBorder="1" applyAlignment="1">
      <alignment horizontal="center" vertical="center" shrinkToFit="1"/>
    </xf>
    <xf numFmtId="0" fontId="29" fillId="3" borderId="34" xfId="1" applyFont="1" applyFill="1" applyBorder="1" applyAlignment="1">
      <alignment horizontal="center" vertical="center" shrinkToFit="1"/>
    </xf>
    <xf numFmtId="0" fontId="29" fillId="3" borderId="35" xfId="1" applyFont="1" applyFill="1" applyBorder="1" applyAlignment="1">
      <alignment horizontal="center" vertical="center" shrinkToFit="1"/>
    </xf>
    <xf numFmtId="0" fontId="29" fillId="3" borderId="33" xfId="1" applyFont="1" applyFill="1" applyBorder="1" applyAlignment="1">
      <alignment horizontal="center" vertical="center" shrinkToFit="1"/>
    </xf>
    <xf numFmtId="0" fontId="0" fillId="0" borderId="3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8" fillId="0" borderId="23" xfId="1" applyFont="1" applyBorder="1" applyAlignment="1">
      <alignment horizontal="center" vertical="center"/>
    </xf>
    <xf numFmtId="0" fontId="28" fillId="0" borderId="8" xfId="1" applyFont="1" applyBorder="1" applyAlignment="1">
      <alignment horizontal="center" vertical="center" shrinkToFit="1"/>
    </xf>
    <xf numFmtId="0" fontId="28" fillId="0" borderId="37" xfId="1" applyFont="1" applyBorder="1" applyAlignment="1">
      <alignment horizontal="center" vertical="center" shrinkToFit="1"/>
    </xf>
    <xf numFmtId="0" fontId="0" fillId="0" borderId="24" xfId="0" applyBorder="1" applyAlignment="1">
      <alignment horizontal="center" vertical="center"/>
    </xf>
    <xf numFmtId="0" fontId="28" fillId="0" borderId="7" xfId="1" applyFont="1" applyBorder="1" applyAlignment="1">
      <alignment horizontal="center" vertical="center"/>
    </xf>
    <xf numFmtId="0" fontId="28" fillId="0" borderId="27" xfId="1" applyFont="1" applyBorder="1" applyAlignment="1">
      <alignment horizontal="center" vertical="center" shrinkToFit="1"/>
    </xf>
    <xf numFmtId="0" fontId="28" fillId="0" borderId="7" xfId="1" applyFont="1" applyBorder="1" applyAlignment="1">
      <alignment horizontal="center" vertical="center" shrinkToFit="1"/>
    </xf>
    <xf numFmtId="0" fontId="0" fillId="0" borderId="28" xfId="0" applyBorder="1" applyAlignment="1">
      <alignment horizontal="center" vertical="center"/>
    </xf>
    <xf numFmtId="0" fontId="28" fillId="0" borderId="26" xfId="1" applyFont="1" applyBorder="1" applyAlignment="1">
      <alignment horizontal="center" vertical="center"/>
    </xf>
    <xf numFmtId="0" fontId="28" fillId="3" borderId="7" xfId="1" applyFont="1" applyFill="1" applyBorder="1" applyAlignment="1">
      <alignment horizontal="center" vertical="center"/>
    </xf>
    <xf numFmtId="0" fontId="28" fillId="3" borderId="27" xfId="1" applyFont="1" applyFill="1" applyBorder="1" applyAlignment="1">
      <alignment horizontal="center" vertical="center" shrinkToFit="1"/>
    </xf>
    <xf numFmtId="0" fontId="28" fillId="3" borderId="7" xfId="1" applyFont="1" applyFill="1" applyBorder="1" applyAlignment="1">
      <alignment horizontal="center" vertical="center" shrinkToFit="1"/>
    </xf>
    <xf numFmtId="0" fontId="29" fillId="0" borderId="11" xfId="1" applyFont="1" applyBorder="1" applyAlignment="1">
      <alignment horizontal="center" vertical="center" shrinkToFit="1"/>
    </xf>
    <xf numFmtId="0" fontId="31" fillId="3" borderId="7" xfId="1" applyFont="1" applyFill="1" applyBorder="1" applyAlignment="1">
      <alignment horizontal="center" vertical="center" shrinkToFit="1"/>
    </xf>
    <xf numFmtId="0" fontId="28" fillId="3" borderId="26" xfId="1" applyFont="1" applyFill="1" applyBorder="1" applyAlignment="1">
      <alignment horizontal="center" vertical="center"/>
    </xf>
    <xf numFmtId="0" fontId="28" fillId="3" borderId="38" xfId="1" applyFont="1" applyFill="1" applyBorder="1" applyAlignment="1">
      <alignment horizontal="center" vertical="center"/>
    </xf>
    <xf numFmtId="0" fontId="28" fillId="3" borderId="14" xfId="1" applyFont="1" applyFill="1" applyBorder="1" applyAlignment="1">
      <alignment horizontal="center" vertical="center" shrinkToFit="1"/>
    </xf>
    <xf numFmtId="0" fontId="32" fillId="3" borderId="15" xfId="1" applyFont="1" applyFill="1" applyBorder="1" applyAlignment="1">
      <alignment horizontal="center" vertical="center" shrinkToFit="1"/>
    </xf>
    <xf numFmtId="0" fontId="29" fillId="3" borderId="16" xfId="1" applyFont="1" applyFill="1" applyBorder="1" applyAlignment="1">
      <alignment horizontal="center" vertical="center" shrinkToFit="1"/>
    </xf>
    <xf numFmtId="0" fontId="29" fillId="3" borderId="17" xfId="1" applyFont="1" applyFill="1" applyBorder="1" applyAlignment="1">
      <alignment horizontal="center" vertical="center" shrinkToFit="1"/>
    </xf>
    <xf numFmtId="0" fontId="29" fillId="3" borderId="18" xfId="1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9" fillId="3" borderId="27" xfId="1" applyFont="1" applyFill="1" applyBorder="1" applyAlignment="1">
      <alignment horizontal="center" vertical="center" shrinkToFit="1"/>
    </xf>
    <xf numFmtId="0" fontId="29" fillId="3" borderId="7" xfId="1" applyFont="1" applyFill="1" applyBorder="1" applyAlignment="1">
      <alignment horizontal="center" vertical="center" shrinkToFit="1"/>
    </xf>
    <xf numFmtId="0" fontId="29" fillId="3" borderId="40" xfId="1" applyFont="1" applyFill="1" applyBorder="1" applyAlignment="1">
      <alignment horizontal="center" vertical="center" shrinkToFit="1"/>
    </xf>
    <xf numFmtId="0" fontId="29" fillId="3" borderId="41" xfId="1" applyFont="1" applyFill="1" applyBorder="1" applyAlignment="1">
      <alignment horizontal="center" vertical="center" shrinkToFit="1"/>
    </xf>
    <xf numFmtId="0" fontId="33" fillId="3" borderId="41" xfId="1" applyFont="1" applyFill="1" applyBorder="1" applyAlignment="1">
      <alignment horizontal="center" vertical="center" shrinkToFit="1"/>
    </xf>
    <xf numFmtId="0" fontId="29" fillId="3" borderId="42" xfId="1" applyFont="1" applyFill="1" applyBorder="1" applyAlignment="1">
      <alignment horizontal="center" vertical="center" shrinkToFi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32" fillId="3" borderId="7" xfId="1" applyFont="1" applyFill="1" applyBorder="1" applyAlignment="1">
      <alignment horizontal="center" vertical="center" shrinkToFit="1"/>
    </xf>
    <xf numFmtId="0" fontId="33" fillId="3" borderId="11" xfId="1" applyFont="1" applyFill="1" applyBorder="1" applyAlignment="1">
      <alignment horizontal="center" vertical="center" shrinkToFit="1"/>
    </xf>
    <xf numFmtId="0" fontId="32" fillId="0" borderId="7" xfId="1" applyFont="1" applyBorder="1" applyAlignment="1">
      <alignment horizontal="center" vertical="center" shrinkToFit="1"/>
    </xf>
    <xf numFmtId="0" fontId="34" fillId="3" borderId="11" xfId="1" applyFont="1" applyFill="1" applyBorder="1" applyAlignment="1">
      <alignment horizontal="center" vertical="center" shrinkToFit="1"/>
    </xf>
    <xf numFmtId="0" fontId="28" fillId="3" borderId="12" xfId="1" applyFont="1" applyFill="1" applyBorder="1" applyAlignment="1">
      <alignment horizontal="center" vertical="center"/>
    </xf>
    <xf numFmtId="0" fontId="28" fillId="3" borderId="31" xfId="1" applyFont="1" applyFill="1" applyBorder="1" applyAlignment="1">
      <alignment horizontal="center" vertical="center" shrinkToFit="1"/>
    </xf>
    <xf numFmtId="0" fontId="28" fillId="3" borderId="32" xfId="1" applyFont="1" applyFill="1" applyBorder="1" applyAlignment="1">
      <alignment horizontal="center" vertical="center" shrinkToFit="1"/>
    </xf>
    <xf numFmtId="0" fontId="28" fillId="3" borderId="18" xfId="1" applyFont="1" applyFill="1" applyBorder="1" applyAlignment="1">
      <alignment horizontal="center" vertical="center"/>
    </xf>
    <xf numFmtId="0" fontId="28" fillId="3" borderId="15" xfId="1" applyFont="1" applyFill="1" applyBorder="1" applyAlignment="1">
      <alignment horizontal="center" vertical="center" shrinkToFit="1"/>
    </xf>
    <xf numFmtId="0" fontId="0" fillId="0" borderId="46" xfId="0" applyBorder="1" applyAlignment="1">
      <alignment horizontal="center" vertical="center"/>
    </xf>
    <xf numFmtId="0" fontId="30" fillId="0" borderId="0" xfId="1" applyFont="1" applyAlignment="1">
      <alignment horizontal="center"/>
    </xf>
    <xf numFmtId="0" fontId="24" fillId="5" borderId="33" xfId="1" applyFont="1" applyFill="1" applyBorder="1" applyAlignment="1">
      <alignment horizontal="center" vertical="center"/>
    </xf>
    <xf numFmtId="0" fontId="27" fillId="5" borderId="34" xfId="1" applyFont="1" applyFill="1" applyBorder="1" applyAlignment="1">
      <alignment horizontal="center" vertical="center"/>
    </xf>
    <xf numFmtId="0" fontId="27" fillId="5" borderId="35" xfId="1" applyFont="1" applyFill="1" applyBorder="1" applyAlignment="1">
      <alignment horizontal="center" vertical="center"/>
    </xf>
    <xf numFmtId="0" fontId="24" fillId="5" borderId="34" xfId="1" applyFont="1" applyFill="1" applyBorder="1" applyAlignment="1">
      <alignment horizontal="center" vertical="center"/>
    </xf>
    <xf numFmtId="0" fontId="35" fillId="3" borderId="5" xfId="1" applyFont="1" applyFill="1" applyBorder="1" applyAlignment="1">
      <alignment horizontal="center" vertical="center"/>
    </xf>
    <xf numFmtId="0" fontId="36" fillId="3" borderId="5" xfId="1" applyFont="1" applyFill="1" applyBorder="1" applyAlignment="1">
      <alignment horizontal="center" vertical="center"/>
    </xf>
    <xf numFmtId="0" fontId="37" fillId="3" borderId="5" xfId="1" applyFont="1" applyFill="1" applyBorder="1" applyAlignment="1">
      <alignment horizontal="center" vertical="center"/>
    </xf>
    <xf numFmtId="0" fontId="38" fillId="3" borderId="6" xfId="1" applyFont="1" applyFill="1" applyBorder="1" applyAlignment="1">
      <alignment horizontal="center" vertical="center"/>
    </xf>
    <xf numFmtId="0" fontId="29" fillId="7" borderId="11" xfId="1" applyFont="1" applyFill="1" applyBorder="1" applyAlignment="1">
      <alignment horizontal="center" vertical="center" shrinkToFit="1"/>
    </xf>
    <xf numFmtId="0" fontId="29" fillId="7" borderId="12" xfId="1" applyFont="1" applyFill="1" applyBorder="1" applyAlignment="1">
      <alignment horizontal="center" vertical="center" shrinkToFit="1"/>
    </xf>
    <xf numFmtId="0" fontId="29" fillId="7" borderId="5" xfId="1" applyFont="1" applyFill="1" applyBorder="1" applyAlignment="1">
      <alignment horizontal="center" vertical="center" shrinkToFit="1"/>
    </xf>
    <xf numFmtId="0" fontId="29" fillId="7" borderId="4" xfId="1" applyFont="1" applyFill="1" applyBorder="1" applyAlignment="1">
      <alignment horizontal="center" vertical="center" shrinkToFit="1"/>
    </xf>
    <xf numFmtId="0" fontId="29" fillId="7" borderId="34" xfId="1" applyFont="1" applyFill="1" applyBorder="1" applyAlignment="1">
      <alignment horizontal="center" vertical="center" shrinkToFit="1"/>
    </xf>
    <xf numFmtId="0" fontId="29" fillId="7" borderId="33" xfId="1" applyFont="1" applyFill="1" applyBorder="1" applyAlignment="1">
      <alignment horizontal="center" vertical="center" shrinkToFit="1"/>
    </xf>
    <xf numFmtId="0" fontId="29" fillId="7" borderId="10" xfId="1" applyFont="1" applyFill="1" applyBorder="1" applyAlignment="1">
      <alignment horizontal="center" vertical="center" shrinkToFit="1"/>
    </xf>
    <xf numFmtId="0" fontId="29" fillId="7" borderId="41" xfId="1" applyFont="1" applyFill="1" applyBorder="1" applyAlignment="1">
      <alignment horizontal="center" vertical="center" shrinkToFit="1"/>
    </xf>
    <xf numFmtId="0" fontId="29" fillId="7" borderId="18" xfId="1" applyFont="1" applyFill="1" applyBorder="1" applyAlignment="1">
      <alignment horizontal="center" vertical="center" shrinkToFit="1"/>
    </xf>
    <xf numFmtId="0" fontId="29" fillId="7" borderId="17" xfId="1" applyFont="1" applyFill="1" applyBorder="1" applyAlignment="1">
      <alignment horizontal="center" vertical="center" shrinkToFit="1"/>
    </xf>
    <xf numFmtId="0" fontId="33" fillId="7" borderId="5" xfId="1" applyFont="1" applyFill="1" applyBorder="1" applyAlignment="1">
      <alignment horizontal="center" vertical="center" shrinkToFit="1"/>
    </xf>
    <xf numFmtId="0" fontId="33" fillId="7" borderId="4" xfId="1" applyFont="1" applyFill="1" applyBorder="1" applyAlignment="1">
      <alignment horizontal="center" vertical="center" shrinkToFit="1"/>
    </xf>
    <xf numFmtId="0" fontId="29" fillId="7" borderId="35" xfId="1" applyFont="1" applyFill="1" applyBorder="1" applyAlignment="1">
      <alignment horizontal="center" vertical="center" shrinkToFit="1"/>
    </xf>
    <xf numFmtId="0" fontId="26" fillId="0" borderId="37" xfId="1" applyFont="1" applyBorder="1" applyAlignment="1">
      <alignment horizontal="center" vertical="center"/>
    </xf>
    <xf numFmtId="0" fontId="26" fillId="0" borderId="47" xfId="1" applyFont="1" applyBorder="1" applyAlignment="1">
      <alignment horizontal="center" vertical="center"/>
    </xf>
    <xf numFmtId="0" fontId="28" fillId="0" borderId="9" xfId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9" fillId="0" borderId="0" xfId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3">
    <cellStyle name="표준" xfId="0" builtinId="0"/>
    <cellStyle name="표준 2" xfId="2" xr:uid="{00000000-0005-0000-0000-000001000000}"/>
    <cellStyle name="표준 3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12533</xdr:colOff>
      <xdr:row>1</xdr:row>
      <xdr:rowOff>47625</xdr:rowOff>
    </xdr:from>
    <xdr:to>
      <xdr:col>10</xdr:col>
      <xdr:colOff>152902</xdr:colOff>
      <xdr:row>1</xdr:row>
      <xdr:rowOff>210553</xdr:rowOff>
    </xdr:to>
    <xdr:sp macro="" textlink="">
      <xdr:nvSpPr>
        <xdr:cNvPr id="3" name="모서리가 둥근 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Rot="1"/>
        </xdr:cNvSpPr>
      </xdr:nvSpPr>
      <xdr:spPr>
        <a:xfrm>
          <a:off x="12533" y="523875"/>
          <a:ext cx="4407569" cy="162928"/>
        </a:xfrm>
        <a:prstGeom prst="roundRect">
          <a:avLst>
            <a:gd name="adj" fmla="val 16667"/>
          </a:avLst>
        </a:prstGeom>
        <a:noFill/>
        <a:ln w="25400" cap="flat" cmpd="sng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overflow" wrap="square" lIns="91440" tIns="0" rIns="91440" bIns="0" anchor="ctr"/>
        <a:lstStyle/>
        <a:p>
          <a:pPr algn="l" eaLnBrk="0" latinLnBrk="0">
            <a:lnSpc>
              <a:spcPct val="100000"/>
            </a:lnSpc>
          </a:pPr>
          <a:r>
            <a:rPr lang="ko-KR" altLang="en-US" sz="1100" b="1">
              <a:solidFill>
                <a:srgbClr val="FF0000"/>
              </a:solidFill>
              <a:latin typeface="Calibri"/>
              <a:ea typeface="Calibri"/>
            </a:rPr>
            <a:t>변경시 파트장 보고 및 어사인표 변경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5"/>
  <sheetViews>
    <sheetView tabSelected="1" zoomScale="73" zoomScaleNormal="73" workbookViewId="0">
      <selection activeCell="AS53" sqref="AS53"/>
    </sheetView>
  </sheetViews>
  <sheetFormatPr defaultRowHeight="17" x14ac:dyDescent="0.25"/>
  <cols>
    <col min="1" max="1" width="9.5" customWidth="1"/>
    <col min="2" max="2" width="7.25" customWidth="1"/>
    <col min="3" max="4" width="6.33203125" customWidth="1"/>
    <col min="5" max="12" width="5.58203125" style="135" customWidth="1"/>
    <col min="13" max="18" width="5.5" style="135" customWidth="1"/>
    <col min="19" max="32" width="5.58203125" style="135" customWidth="1"/>
    <col min="33" max="33" width="7.25" style="135" bestFit="1" customWidth="1"/>
    <col min="34" max="36" width="3.83203125" customWidth="1"/>
    <col min="37" max="38" width="4.75" customWidth="1"/>
    <col min="39" max="39" width="3.75" customWidth="1"/>
    <col min="40" max="47" width="3.83203125" customWidth="1"/>
  </cols>
  <sheetData>
    <row r="1" spans="1:48" ht="36.5" x14ac:dyDescent="0.45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1" t="e">
        <f>#REF!&amp;#REF!&amp;#REF!&amp;#REF!&amp;#REF!&amp;#REF!&amp;#REF!&amp;#REF!&amp;#REF!&amp;#REF!&amp;#REF!&amp;#REF!&amp;#REF!&amp;#REF!&amp;#REF!&amp;#REF!&amp;#REF!&amp;#REF!&amp;#REF!&amp;#REF!&amp;#REF!&amp;#REF!&amp;#REF!&amp;#REF!&amp;#REF!&amp;#REF!&amp;#REF!&amp;#REF!</f>
        <v>#REF!</v>
      </c>
      <c r="K1" s="161"/>
      <c r="L1" s="161"/>
      <c r="M1" s="161"/>
      <c r="N1" s="161"/>
      <c r="O1" s="161"/>
      <c r="P1" s="161"/>
      <c r="Q1" s="161"/>
      <c r="R1" s="161"/>
      <c r="S1" s="161"/>
      <c r="T1" s="161"/>
      <c r="U1" s="161"/>
      <c r="V1" s="161"/>
      <c r="W1" s="161"/>
      <c r="X1" s="161"/>
      <c r="Y1" s="161"/>
      <c r="Z1" s="161"/>
      <c r="AA1" s="161"/>
      <c r="AB1" s="161"/>
      <c r="AC1" s="161"/>
      <c r="AD1" s="161"/>
      <c r="AE1" s="161"/>
      <c r="AF1" s="161"/>
      <c r="AG1" s="1"/>
    </row>
    <row r="2" spans="1:48" ht="21.5" thickBot="1" x14ac:dyDescent="0.5">
      <c r="A2" s="2" t="s">
        <v>1</v>
      </c>
      <c r="B2" s="3"/>
      <c r="C2" s="3"/>
      <c r="D2" s="3"/>
      <c r="E2" s="4"/>
      <c r="F2" s="4"/>
      <c r="G2" s="4"/>
      <c r="H2" s="4"/>
      <c r="I2" s="4"/>
      <c r="J2" s="4"/>
      <c r="K2" s="4"/>
      <c r="L2" s="162" t="s">
        <v>97</v>
      </c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5"/>
      <c r="Y2" s="6"/>
      <c r="Z2" s="6"/>
      <c r="AA2" s="6"/>
      <c r="AB2" s="6"/>
      <c r="AC2" s="6"/>
      <c r="AD2" s="7" t="s">
        <v>2</v>
      </c>
      <c r="AE2" s="7"/>
      <c r="AF2" s="7"/>
      <c r="AG2"/>
      <c r="AH2" s="163"/>
      <c r="AI2" s="164"/>
      <c r="AJ2" s="164"/>
      <c r="AK2" s="164"/>
      <c r="AL2" s="164"/>
      <c r="AM2" s="164"/>
      <c r="AN2" s="164"/>
      <c r="AO2" s="164"/>
      <c r="AP2" s="164"/>
      <c r="AQ2" s="164"/>
      <c r="AR2" s="164"/>
      <c r="AS2" s="164"/>
      <c r="AT2" s="164"/>
      <c r="AU2" s="164"/>
      <c r="AV2" s="164"/>
    </row>
    <row r="3" spans="1:48" ht="18" thickBot="1" x14ac:dyDescent="0.5">
      <c r="A3" s="8"/>
      <c r="B3" s="9"/>
      <c r="C3" s="9"/>
      <c r="D3" s="9"/>
      <c r="E3" s="10"/>
      <c r="F3" s="11"/>
      <c r="G3" s="11"/>
      <c r="H3" s="12"/>
      <c r="I3" s="13"/>
      <c r="J3" s="14"/>
      <c r="K3" s="15"/>
      <c r="L3" s="16"/>
      <c r="M3" s="17"/>
      <c r="N3" s="18"/>
      <c r="O3" s="19"/>
      <c r="P3" s="19"/>
      <c r="Q3" s="18"/>
      <c r="R3" s="20"/>
      <c r="S3" s="16"/>
      <c r="T3" s="140"/>
      <c r="U3" s="140"/>
      <c r="V3" s="140"/>
      <c r="W3" s="141"/>
      <c r="X3" s="142"/>
      <c r="Y3" s="143"/>
      <c r="Z3" s="21"/>
      <c r="AA3" s="19"/>
      <c r="AB3" s="22"/>
      <c r="AC3" s="22"/>
      <c r="AD3" s="22"/>
      <c r="AE3" s="23"/>
      <c r="AF3" s="24"/>
      <c r="AG3"/>
      <c r="AH3" s="164"/>
      <c r="AI3" s="164"/>
      <c r="AJ3" s="164"/>
      <c r="AK3" s="164"/>
      <c r="AL3" s="164"/>
      <c r="AM3" s="164"/>
      <c r="AN3" s="164"/>
      <c r="AO3" s="164"/>
      <c r="AP3" s="164"/>
      <c r="AQ3" s="164"/>
      <c r="AR3" s="164"/>
      <c r="AS3" s="164"/>
      <c r="AT3" s="164"/>
      <c r="AU3" s="164"/>
      <c r="AV3" s="164"/>
    </row>
    <row r="4" spans="1:48" ht="17.5" thickBot="1" x14ac:dyDescent="0.5">
      <c r="A4" s="25"/>
      <c r="B4" s="157"/>
      <c r="C4" s="26"/>
      <c r="D4" s="27"/>
      <c r="E4" s="28" t="s">
        <v>3</v>
      </c>
      <c r="F4" s="31" t="s">
        <v>4</v>
      </c>
      <c r="G4" s="29" t="s">
        <v>5</v>
      </c>
      <c r="H4" s="29" t="s">
        <v>6</v>
      </c>
      <c r="I4" s="29" t="s">
        <v>7</v>
      </c>
      <c r="J4" s="29" t="s">
        <v>8</v>
      </c>
      <c r="K4" s="30" t="s">
        <v>9</v>
      </c>
      <c r="L4" s="28" t="s">
        <v>10</v>
      </c>
      <c r="M4" s="29" t="s">
        <v>11</v>
      </c>
      <c r="N4" s="29" t="s">
        <v>12</v>
      </c>
      <c r="O4" s="29" t="s">
        <v>13</v>
      </c>
      <c r="P4" s="29" t="s">
        <v>14</v>
      </c>
      <c r="Q4" s="29" t="s">
        <v>15</v>
      </c>
      <c r="R4" s="30" t="s">
        <v>16</v>
      </c>
      <c r="S4" s="28" t="s">
        <v>17</v>
      </c>
      <c r="T4" s="29" t="s">
        <v>18</v>
      </c>
      <c r="U4" s="29" t="s">
        <v>19</v>
      </c>
      <c r="V4" s="29" t="s">
        <v>20</v>
      </c>
      <c r="W4" s="29" t="s">
        <v>21</v>
      </c>
      <c r="X4" s="29" t="s">
        <v>22</v>
      </c>
      <c r="Y4" s="30" t="s">
        <v>23</v>
      </c>
      <c r="Z4" s="28" t="s">
        <v>24</v>
      </c>
      <c r="AA4" s="29" t="s">
        <v>25</v>
      </c>
      <c r="AB4" s="29" t="s">
        <v>26</v>
      </c>
      <c r="AC4" s="29" t="s">
        <v>27</v>
      </c>
      <c r="AD4" s="29" t="s">
        <v>28</v>
      </c>
      <c r="AE4" s="29" t="s">
        <v>29</v>
      </c>
      <c r="AF4" s="30" t="s">
        <v>30</v>
      </c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</row>
    <row r="5" spans="1:48" ht="17.5" thickBot="1" x14ac:dyDescent="0.5">
      <c r="A5" s="33" t="s">
        <v>131</v>
      </c>
      <c r="B5" s="158" t="s">
        <v>130</v>
      </c>
      <c r="C5" s="34" t="s">
        <v>31</v>
      </c>
      <c r="D5" s="35" t="s">
        <v>32</v>
      </c>
      <c r="E5" s="136" t="s">
        <v>33</v>
      </c>
      <c r="F5" s="139" t="s">
        <v>34</v>
      </c>
      <c r="G5" s="137" t="s">
        <v>35</v>
      </c>
      <c r="H5" s="137" t="s">
        <v>36</v>
      </c>
      <c r="I5" s="137" t="s">
        <v>37</v>
      </c>
      <c r="J5" s="137" t="s">
        <v>38</v>
      </c>
      <c r="K5" s="138" t="s">
        <v>39</v>
      </c>
      <c r="L5" s="36" t="s">
        <v>33</v>
      </c>
      <c r="M5" s="37" t="s">
        <v>40</v>
      </c>
      <c r="N5" s="37" t="s">
        <v>41</v>
      </c>
      <c r="O5" s="39" t="s">
        <v>36</v>
      </c>
      <c r="P5" s="37" t="s">
        <v>42</v>
      </c>
      <c r="Q5" s="37" t="s">
        <v>43</v>
      </c>
      <c r="R5" s="38" t="s">
        <v>39</v>
      </c>
      <c r="S5" s="40" t="s">
        <v>33</v>
      </c>
      <c r="T5" s="37" t="s">
        <v>40</v>
      </c>
      <c r="U5" s="41" t="s">
        <v>35</v>
      </c>
      <c r="V5" s="41" t="s">
        <v>36</v>
      </c>
      <c r="W5" s="41" t="s">
        <v>37</v>
      </c>
      <c r="X5" s="41" t="s">
        <v>43</v>
      </c>
      <c r="Y5" s="42" t="s">
        <v>39</v>
      </c>
      <c r="Z5" s="43" t="s">
        <v>33</v>
      </c>
      <c r="AA5" s="41" t="s">
        <v>40</v>
      </c>
      <c r="AB5" s="41" t="s">
        <v>35</v>
      </c>
      <c r="AC5" s="41" t="s">
        <v>36</v>
      </c>
      <c r="AD5" s="39" t="s">
        <v>42</v>
      </c>
      <c r="AE5" s="37" t="s">
        <v>43</v>
      </c>
      <c r="AF5" s="42" t="s">
        <v>39</v>
      </c>
      <c r="AG5" s="44" t="s">
        <v>44</v>
      </c>
      <c r="AH5" s="45" t="s">
        <v>45</v>
      </c>
      <c r="AI5" s="46" t="s">
        <v>46</v>
      </c>
      <c r="AJ5" s="46" t="s">
        <v>47</v>
      </c>
      <c r="AK5" s="46" t="s">
        <v>32</v>
      </c>
      <c r="AL5" s="46" t="s">
        <v>48</v>
      </c>
      <c r="AM5" s="46" t="s">
        <v>49</v>
      </c>
      <c r="AN5" s="46" t="s">
        <v>50</v>
      </c>
      <c r="AO5" s="47" t="s">
        <v>51</v>
      </c>
      <c r="AP5" s="44" t="s">
        <v>52</v>
      </c>
      <c r="AQ5" s="46" t="s">
        <v>53</v>
      </c>
      <c r="AR5" s="46" t="s">
        <v>54</v>
      </c>
      <c r="AS5" s="46" t="s">
        <v>55</v>
      </c>
      <c r="AT5" s="46" t="s">
        <v>56</v>
      </c>
      <c r="AU5" s="47" t="s">
        <v>57</v>
      </c>
    </row>
    <row r="6" spans="1:48" ht="17.5" thickBot="1" x14ac:dyDescent="0.5">
      <c r="A6" s="48" t="s">
        <v>58</v>
      </c>
      <c r="B6" s="159">
        <v>20</v>
      </c>
      <c r="C6" s="49"/>
      <c r="D6" s="50"/>
      <c r="E6" s="147" t="s">
        <v>105</v>
      </c>
      <c r="F6" s="146" t="s">
        <v>47</v>
      </c>
      <c r="G6" s="146" t="s">
        <v>106</v>
      </c>
      <c r="H6" s="52"/>
      <c r="I6" s="52"/>
      <c r="J6" s="52"/>
      <c r="K6" s="53" t="s">
        <v>59</v>
      </c>
      <c r="L6" s="51"/>
      <c r="M6" s="52"/>
      <c r="N6" s="52"/>
      <c r="O6" s="146" t="s">
        <v>108</v>
      </c>
      <c r="P6" s="146" t="s">
        <v>105</v>
      </c>
      <c r="Q6" s="52"/>
      <c r="R6" s="53" t="s">
        <v>59</v>
      </c>
      <c r="S6" s="51"/>
      <c r="T6" s="52"/>
      <c r="U6" s="52"/>
      <c r="V6" s="146" t="s">
        <v>106</v>
      </c>
      <c r="W6" s="52"/>
      <c r="X6" s="52"/>
      <c r="Y6" s="53" t="s">
        <v>59</v>
      </c>
      <c r="Z6" s="155" t="s">
        <v>110</v>
      </c>
      <c r="AA6" s="52"/>
      <c r="AB6" s="52"/>
      <c r="AC6" s="154" t="s">
        <v>106</v>
      </c>
      <c r="AD6" s="146"/>
      <c r="AE6" s="146" t="s">
        <v>105</v>
      </c>
      <c r="AF6" s="53" t="s">
        <v>59</v>
      </c>
      <c r="AG6" s="54">
        <f>SUM(AH6:AO6)</f>
        <v>10</v>
      </c>
      <c r="AH6" s="55">
        <f t="shared" ref="AH6:AI28" si="0">COUNTIF($E6:$AF6,AH$5)</f>
        <v>4</v>
      </c>
      <c r="AI6" s="56">
        <f t="shared" si="0"/>
        <v>4</v>
      </c>
      <c r="AJ6" s="56">
        <f t="shared" ref="AJ6:AJ43" si="1">COUNTIF($E6:$AF6,"법*")</f>
        <v>1</v>
      </c>
      <c r="AK6" s="56">
        <f t="shared" ref="AK6:AK43" si="2">COUNTIF($E6:$AF6,"*수면*")</f>
        <v>0</v>
      </c>
      <c r="AL6" s="56">
        <f t="shared" ref="AL6:AL43" si="3">COUNTIF($E6:$AF6,"경*")</f>
        <v>0</v>
      </c>
      <c r="AM6" s="56">
        <f t="shared" ref="AM6:AM43" si="4">COUNTIF($E6:$AF6,"공*")</f>
        <v>0</v>
      </c>
      <c r="AN6" s="56">
        <f t="shared" ref="AN6:AN43" si="5">COUNTIF($E6:$AF6,AN$5)+COUNTIF($E6:$AF6,"휴가")</f>
        <v>0</v>
      </c>
      <c r="AO6" s="57">
        <f t="shared" ref="AO6:AO43" si="6">COUNTIF($E6:$AF6,"생*")+COUNTIF($E6:$AF6,"산전*")</f>
        <v>1</v>
      </c>
      <c r="AP6" s="58">
        <f t="shared" ref="AP6:AU23" si="7">COUNTIF($E6:$AF6,AP$5)</f>
        <v>0</v>
      </c>
      <c r="AQ6" s="56">
        <f t="shared" si="7"/>
        <v>0</v>
      </c>
      <c r="AR6" s="56">
        <f t="shared" si="7"/>
        <v>0</v>
      </c>
      <c r="AS6" s="56">
        <f t="shared" si="7"/>
        <v>3</v>
      </c>
      <c r="AT6" s="56">
        <f t="shared" si="7"/>
        <v>0</v>
      </c>
      <c r="AU6" s="57">
        <f t="shared" si="7"/>
        <v>0</v>
      </c>
    </row>
    <row r="7" spans="1:48" ht="17.5" thickBot="1" x14ac:dyDescent="0.5">
      <c r="A7" s="59" t="s">
        <v>60</v>
      </c>
      <c r="B7" s="159">
        <v>20</v>
      </c>
      <c r="C7" s="60"/>
      <c r="D7" s="61"/>
      <c r="E7" s="62" t="s">
        <v>59</v>
      </c>
      <c r="F7" s="63"/>
      <c r="G7" s="63"/>
      <c r="H7" s="63"/>
      <c r="I7" s="144" t="s">
        <v>99</v>
      </c>
      <c r="J7" s="144" t="s">
        <v>98</v>
      </c>
      <c r="K7" s="64"/>
      <c r="L7" s="62" t="s">
        <v>59</v>
      </c>
      <c r="M7" s="63"/>
      <c r="N7" s="63"/>
      <c r="O7" s="144" t="s">
        <v>102</v>
      </c>
      <c r="P7" s="144" t="s">
        <v>101</v>
      </c>
      <c r="Q7" s="144" t="s">
        <v>98</v>
      </c>
      <c r="R7" s="64"/>
      <c r="S7" s="62" t="s">
        <v>59</v>
      </c>
      <c r="T7" s="63"/>
      <c r="U7" s="63"/>
      <c r="V7" s="63"/>
      <c r="W7" s="144" t="s">
        <v>56</v>
      </c>
      <c r="X7" s="144" t="s">
        <v>98</v>
      </c>
      <c r="Y7" s="145" t="s">
        <v>100</v>
      </c>
      <c r="Z7" s="62" t="s">
        <v>118</v>
      </c>
      <c r="AA7" s="63"/>
      <c r="AB7" s="63"/>
      <c r="AC7" s="63"/>
      <c r="AD7" s="144" t="s">
        <v>99</v>
      </c>
      <c r="AE7" s="144" t="s">
        <v>98</v>
      </c>
      <c r="AF7" s="64"/>
      <c r="AG7" s="65">
        <f t="shared" ref="AG7:AG43" si="8">SUM(AH7:AO7)</f>
        <v>9</v>
      </c>
      <c r="AH7" s="66">
        <f t="shared" si="0"/>
        <v>4</v>
      </c>
      <c r="AI7" s="67">
        <f t="shared" si="0"/>
        <v>4</v>
      </c>
      <c r="AJ7" s="67">
        <f t="shared" si="1"/>
        <v>0</v>
      </c>
      <c r="AK7" s="67">
        <f t="shared" si="2"/>
        <v>0</v>
      </c>
      <c r="AL7" s="67">
        <f t="shared" si="3"/>
        <v>0</v>
      </c>
      <c r="AM7" s="67">
        <f t="shared" si="4"/>
        <v>0</v>
      </c>
      <c r="AN7" s="67">
        <f t="shared" si="5"/>
        <v>0</v>
      </c>
      <c r="AO7" s="68">
        <f t="shared" si="6"/>
        <v>1</v>
      </c>
      <c r="AP7" s="69">
        <f t="shared" si="7"/>
        <v>0</v>
      </c>
      <c r="AQ7" s="67">
        <f t="shared" si="7"/>
        <v>1</v>
      </c>
      <c r="AR7" s="67">
        <f t="shared" si="7"/>
        <v>0</v>
      </c>
      <c r="AS7" s="67">
        <f t="shared" si="7"/>
        <v>3</v>
      </c>
      <c r="AT7" s="67">
        <f t="shared" si="7"/>
        <v>1</v>
      </c>
      <c r="AU7" s="68">
        <f t="shared" si="7"/>
        <v>0</v>
      </c>
    </row>
    <row r="8" spans="1:48" ht="17.5" thickBot="1" x14ac:dyDescent="0.5">
      <c r="A8" s="59" t="s">
        <v>61</v>
      </c>
      <c r="B8" s="159">
        <v>20</v>
      </c>
      <c r="C8" s="70"/>
      <c r="D8" s="61"/>
      <c r="E8" s="62"/>
      <c r="F8" s="63"/>
      <c r="G8" s="63" t="s">
        <v>59</v>
      </c>
      <c r="H8" s="63"/>
      <c r="I8" s="63"/>
      <c r="J8" s="63"/>
      <c r="K8" s="145" t="s">
        <v>103</v>
      </c>
      <c r="L8" s="62"/>
      <c r="M8" s="63"/>
      <c r="N8" s="63" t="s">
        <v>59</v>
      </c>
      <c r="O8" s="144" t="s">
        <v>124</v>
      </c>
      <c r="P8" s="144" t="s">
        <v>125</v>
      </c>
      <c r="Q8" s="63"/>
      <c r="R8" s="64"/>
      <c r="S8" s="62"/>
      <c r="T8" s="63"/>
      <c r="U8" s="63" t="s">
        <v>59</v>
      </c>
      <c r="V8" s="144" t="s">
        <v>103</v>
      </c>
      <c r="W8" s="144" t="s">
        <v>104</v>
      </c>
      <c r="X8" s="63"/>
      <c r="Y8" s="64"/>
      <c r="Z8" s="62"/>
      <c r="AA8" s="63"/>
      <c r="AB8" s="63" t="s">
        <v>59</v>
      </c>
      <c r="AC8" s="63"/>
      <c r="AD8" s="63"/>
      <c r="AE8" s="63"/>
      <c r="AF8" s="64"/>
      <c r="AG8" s="65">
        <f t="shared" si="8"/>
        <v>9</v>
      </c>
      <c r="AH8" s="66">
        <f t="shared" si="0"/>
        <v>4</v>
      </c>
      <c r="AI8" s="67">
        <f t="shared" si="0"/>
        <v>3</v>
      </c>
      <c r="AJ8" s="67">
        <f t="shared" si="1"/>
        <v>0</v>
      </c>
      <c r="AK8" s="67">
        <f t="shared" si="2"/>
        <v>0</v>
      </c>
      <c r="AL8" s="67">
        <f t="shared" si="3"/>
        <v>0</v>
      </c>
      <c r="AM8" s="67">
        <f t="shared" si="4"/>
        <v>0</v>
      </c>
      <c r="AN8" s="67">
        <f t="shared" si="5"/>
        <v>1</v>
      </c>
      <c r="AO8" s="68">
        <f t="shared" si="6"/>
        <v>1</v>
      </c>
      <c r="AP8" s="69">
        <f t="shared" si="7"/>
        <v>0</v>
      </c>
      <c r="AQ8" s="67">
        <f t="shared" si="7"/>
        <v>0</v>
      </c>
      <c r="AR8" s="67">
        <f t="shared" si="7"/>
        <v>0</v>
      </c>
      <c r="AS8" s="67">
        <f t="shared" si="7"/>
        <v>0</v>
      </c>
      <c r="AT8" s="67">
        <f t="shared" si="7"/>
        <v>0</v>
      </c>
      <c r="AU8" s="68">
        <f t="shared" si="7"/>
        <v>0</v>
      </c>
    </row>
    <row r="9" spans="1:48" ht="17.5" thickBot="1" x14ac:dyDescent="0.3">
      <c r="A9" s="59" t="s">
        <v>62</v>
      </c>
      <c r="B9" s="159">
        <v>20</v>
      </c>
      <c r="C9" s="60"/>
      <c r="D9" s="61"/>
      <c r="E9" s="62"/>
      <c r="F9" s="63"/>
      <c r="G9" s="63"/>
      <c r="H9" s="63"/>
      <c r="I9" s="144" t="s">
        <v>113</v>
      </c>
      <c r="J9" s="63"/>
      <c r="K9" s="64" t="s">
        <v>59</v>
      </c>
      <c r="L9" s="62"/>
      <c r="M9" s="63"/>
      <c r="N9" s="63"/>
      <c r="O9" s="63"/>
      <c r="P9" s="63"/>
      <c r="Q9" s="63"/>
      <c r="R9" s="64" t="s">
        <v>59</v>
      </c>
      <c r="S9" s="150" t="s">
        <v>114</v>
      </c>
      <c r="T9" s="63"/>
      <c r="U9" s="63"/>
      <c r="V9" s="63"/>
      <c r="W9" s="144" t="s">
        <v>113</v>
      </c>
      <c r="X9" s="63"/>
      <c r="Y9" s="64" t="s">
        <v>59</v>
      </c>
      <c r="AA9" s="63"/>
      <c r="AB9" s="63"/>
      <c r="AC9" s="63"/>
      <c r="AD9" s="63"/>
      <c r="AE9" s="144" t="s">
        <v>115</v>
      </c>
      <c r="AF9" s="64" t="s">
        <v>59</v>
      </c>
      <c r="AG9" s="65">
        <f t="shared" si="8"/>
        <v>6</v>
      </c>
      <c r="AH9" s="66">
        <f t="shared" si="0"/>
        <v>4</v>
      </c>
      <c r="AI9" s="67">
        <f t="shared" si="0"/>
        <v>1</v>
      </c>
      <c r="AJ9" s="67">
        <f t="shared" si="1"/>
        <v>0</v>
      </c>
      <c r="AK9" s="67">
        <f t="shared" si="2"/>
        <v>0</v>
      </c>
      <c r="AL9" s="67">
        <f t="shared" si="3"/>
        <v>0</v>
      </c>
      <c r="AM9" s="67">
        <f t="shared" si="4"/>
        <v>0</v>
      </c>
      <c r="AN9" s="67">
        <f t="shared" si="5"/>
        <v>1</v>
      </c>
      <c r="AO9" s="68">
        <f t="shared" si="6"/>
        <v>0</v>
      </c>
      <c r="AP9" s="69">
        <f t="shared" si="7"/>
        <v>0</v>
      </c>
      <c r="AQ9" s="67">
        <f t="shared" si="7"/>
        <v>0</v>
      </c>
      <c r="AR9" s="67">
        <f t="shared" si="7"/>
        <v>0</v>
      </c>
      <c r="AS9" s="67">
        <f t="shared" si="7"/>
        <v>0</v>
      </c>
      <c r="AT9" s="67">
        <f t="shared" si="7"/>
        <v>0</v>
      </c>
      <c r="AU9" s="68">
        <f t="shared" si="7"/>
        <v>2</v>
      </c>
    </row>
    <row r="10" spans="1:48" ht="17.5" thickBot="1" x14ac:dyDescent="0.5">
      <c r="A10" s="71" t="s">
        <v>63</v>
      </c>
      <c r="B10" s="159">
        <v>20</v>
      </c>
      <c r="C10" s="70"/>
      <c r="D10" s="72"/>
      <c r="E10" s="62"/>
      <c r="F10" s="63"/>
      <c r="G10" s="63"/>
      <c r="H10" s="63"/>
      <c r="I10" s="144" t="s">
        <v>106</v>
      </c>
      <c r="J10" s="63" t="s">
        <v>59</v>
      </c>
      <c r="K10" s="64"/>
      <c r="L10" s="62"/>
      <c r="M10" s="63"/>
      <c r="N10" s="63"/>
      <c r="O10" s="63"/>
      <c r="P10" s="144" t="s">
        <v>106</v>
      </c>
      <c r="Q10" s="63" t="s">
        <v>59</v>
      </c>
      <c r="R10" s="145" t="s">
        <v>110</v>
      </c>
      <c r="S10" s="150" t="s">
        <v>106</v>
      </c>
      <c r="T10" s="63"/>
      <c r="U10" s="63"/>
      <c r="V10" s="63"/>
      <c r="W10" s="63"/>
      <c r="X10" s="63" t="s">
        <v>59</v>
      </c>
      <c r="Y10" s="64"/>
      <c r="Z10" s="150" t="s">
        <v>114</v>
      </c>
      <c r="AA10" s="63"/>
      <c r="AB10" s="144" t="s">
        <v>106</v>
      </c>
      <c r="AC10" s="63"/>
      <c r="AD10" s="144" t="s">
        <v>111</v>
      </c>
      <c r="AE10" s="63" t="s">
        <v>59</v>
      </c>
      <c r="AF10" s="145" t="s">
        <v>112</v>
      </c>
      <c r="AG10" s="65">
        <f t="shared" si="8"/>
        <v>10</v>
      </c>
      <c r="AH10" s="66">
        <f t="shared" si="0"/>
        <v>4</v>
      </c>
      <c r="AI10" s="67">
        <f t="shared" si="0"/>
        <v>5</v>
      </c>
      <c r="AJ10" s="67">
        <f t="shared" si="1"/>
        <v>0</v>
      </c>
      <c r="AK10" s="67">
        <f t="shared" si="2"/>
        <v>0</v>
      </c>
      <c r="AL10" s="67">
        <f t="shared" si="3"/>
        <v>0</v>
      </c>
      <c r="AM10" s="67">
        <f t="shared" si="4"/>
        <v>0</v>
      </c>
      <c r="AN10" s="67">
        <f t="shared" si="5"/>
        <v>0</v>
      </c>
      <c r="AO10" s="68">
        <f t="shared" si="6"/>
        <v>1</v>
      </c>
      <c r="AP10" s="69">
        <f t="shared" si="7"/>
        <v>0</v>
      </c>
      <c r="AQ10" s="67">
        <f t="shared" si="7"/>
        <v>1</v>
      </c>
      <c r="AR10" s="67">
        <f t="shared" si="7"/>
        <v>0</v>
      </c>
      <c r="AS10" s="67">
        <f t="shared" si="7"/>
        <v>0</v>
      </c>
      <c r="AT10" s="67">
        <f t="shared" si="7"/>
        <v>0</v>
      </c>
      <c r="AU10" s="68">
        <f t="shared" si="7"/>
        <v>0</v>
      </c>
    </row>
    <row r="11" spans="1:48" ht="17.5" thickBot="1" x14ac:dyDescent="0.5">
      <c r="A11" s="59" t="s">
        <v>64</v>
      </c>
      <c r="B11" s="159">
        <v>20</v>
      </c>
      <c r="C11" s="60"/>
      <c r="D11" s="61"/>
      <c r="E11" s="62"/>
      <c r="F11" s="63"/>
      <c r="G11" s="63"/>
      <c r="H11" s="63" t="s">
        <v>59</v>
      </c>
      <c r="I11" s="63"/>
      <c r="J11" s="63"/>
      <c r="K11" s="64"/>
      <c r="L11" s="62"/>
      <c r="M11" s="63"/>
      <c r="N11" s="63"/>
      <c r="O11" s="63" t="s">
        <v>59</v>
      </c>
      <c r="P11" s="63"/>
      <c r="Q11" s="63"/>
      <c r="R11" s="64"/>
      <c r="S11" s="62"/>
      <c r="T11" s="63"/>
      <c r="U11" s="63"/>
      <c r="V11" s="63" t="s">
        <v>59</v>
      </c>
      <c r="W11" s="63"/>
      <c r="X11" s="63"/>
      <c r="Y11" s="64"/>
      <c r="Z11" s="62"/>
      <c r="AA11" s="63"/>
      <c r="AB11" s="63"/>
      <c r="AC11" s="63" t="s">
        <v>59</v>
      </c>
      <c r="AD11" s="63"/>
      <c r="AE11" s="63"/>
      <c r="AF11" s="64"/>
      <c r="AG11" s="65">
        <f t="shared" si="8"/>
        <v>4</v>
      </c>
      <c r="AH11" s="66">
        <f t="shared" si="0"/>
        <v>4</v>
      </c>
      <c r="AI11" s="67">
        <f t="shared" si="0"/>
        <v>0</v>
      </c>
      <c r="AJ11" s="67">
        <f t="shared" si="1"/>
        <v>0</v>
      </c>
      <c r="AK11" s="67">
        <f t="shared" si="2"/>
        <v>0</v>
      </c>
      <c r="AL11" s="67">
        <f t="shared" si="3"/>
        <v>0</v>
      </c>
      <c r="AM11" s="67">
        <f t="shared" si="4"/>
        <v>0</v>
      </c>
      <c r="AN11" s="67">
        <f t="shared" si="5"/>
        <v>0</v>
      </c>
      <c r="AO11" s="68">
        <f t="shared" si="6"/>
        <v>0</v>
      </c>
      <c r="AP11" s="69">
        <f t="shared" si="7"/>
        <v>0</v>
      </c>
      <c r="AQ11" s="67">
        <f t="shared" si="7"/>
        <v>0</v>
      </c>
      <c r="AR11" s="67">
        <f t="shared" si="7"/>
        <v>0</v>
      </c>
      <c r="AS11" s="67">
        <f t="shared" si="7"/>
        <v>0</v>
      </c>
      <c r="AT11" s="67">
        <f t="shared" si="7"/>
        <v>0</v>
      </c>
      <c r="AU11" s="68">
        <f t="shared" si="7"/>
        <v>0</v>
      </c>
    </row>
    <row r="12" spans="1:48" ht="17.5" thickBot="1" x14ac:dyDescent="0.5">
      <c r="A12" s="59" t="s">
        <v>65</v>
      </c>
      <c r="B12" s="159">
        <v>20</v>
      </c>
      <c r="C12" s="60"/>
      <c r="D12" s="61"/>
      <c r="E12" s="150" t="s">
        <v>47</v>
      </c>
      <c r="F12" s="63"/>
      <c r="G12" s="63"/>
      <c r="H12" s="63"/>
      <c r="I12" s="63" t="s">
        <v>59</v>
      </c>
      <c r="J12" s="63"/>
      <c r="K12" s="64"/>
      <c r="L12" s="62"/>
      <c r="M12" s="63"/>
      <c r="N12" s="63"/>
      <c r="O12" s="63"/>
      <c r="P12" s="63" t="s">
        <v>59</v>
      </c>
      <c r="Q12" s="63"/>
      <c r="R12" s="64"/>
      <c r="S12" s="62"/>
      <c r="T12" s="63"/>
      <c r="U12" s="63"/>
      <c r="V12" s="63"/>
      <c r="W12" s="63" t="s">
        <v>59</v>
      </c>
      <c r="X12" s="63"/>
      <c r="Y12" s="64"/>
      <c r="Z12" s="62"/>
      <c r="AA12" s="63"/>
      <c r="AB12" s="63"/>
      <c r="AC12" s="63"/>
      <c r="AD12" s="63" t="s">
        <v>59</v>
      </c>
      <c r="AE12" s="63"/>
      <c r="AF12" s="145" t="s">
        <v>46</v>
      </c>
      <c r="AG12" s="65">
        <f t="shared" si="8"/>
        <v>6</v>
      </c>
      <c r="AH12" s="66">
        <f t="shared" si="0"/>
        <v>4</v>
      </c>
      <c r="AI12" s="67">
        <f t="shared" si="0"/>
        <v>1</v>
      </c>
      <c r="AJ12" s="67">
        <f t="shared" si="1"/>
        <v>1</v>
      </c>
      <c r="AK12" s="67">
        <f t="shared" si="2"/>
        <v>0</v>
      </c>
      <c r="AL12" s="67">
        <f t="shared" si="3"/>
        <v>0</v>
      </c>
      <c r="AM12" s="67">
        <f t="shared" si="4"/>
        <v>0</v>
      </c>
      <c r="AN12" s="67">
        <f t="shared" si="5"/>
        <v>0</v>
      </c>
      <c r="AO12" s="68">
        <f t="shared" si="6"/>
        <v>0</v>
      </c>
      <c r="AP12" s="69">
        <f t="shared" si="7"/>
        <v>0</v>
      </c>
      <c r="AQ12" s="67">
        <f t="shared" si="7"/>
        <v>0</v>
      </c>
      <c r="AR12" s="67">
        <f t="shared" si="7"/>
        <v>0</v>
      </c>
      <c r="AS12" s="67">
        <f t="shared" si="7"/>
        <v>0</v>
      </c>
      <c r="AT12" s="67">
        <f t="shared" si="7"/>
        <v>0</v>
      </c>
      <c r="AU12" s="68">
        <f t="shared" si="7"/>
        <v>0</v>
      </c>
    </row>
    <row r="13" spans="1:48" ht="17.5" thickBot="1" x14ac:dyDescent="0.5">
      <c r="A13" s="73" t="s">
        <v>66</v>
      </c>
      <c r="B13" s="159">
        <v>20</v>
      </c>
      <c r="C13" s="74"/>
      <c r="D13" s="75"/>
      <c r="E13" s="62"/>
      <c r="F13" s="63" t="s">
        <v>59</v>
      </c>
      <c r="G13" s="63"/>
      <c r="H13" s="63"/>
      <c r="I13" s="63"/>
      <c r="J13" s="63"/>
      <c r="K13" s="145" t="s">
        <v>108</v>
      </c>
      <c r="L13" s="150" t="s">
        <v>108</v>
      </c>
      <c r="M13" s="63" t="s">
        <v>59</v>
      </c>
      <c r="N13" s="144" t="s">
        <v>110</v>
      </c>
      <c r="O13" s="63"/>
      <c r="P13" s="63"/>
      <c r="Q13" s="63"/>
      <c r="R13" s="64"/>
      <c r="S13" s="62"/>
      <c r="T13" s="63" t="s">
        <v>59</v>
      </c>
      <c r="U13" s="63"/>
      <c r="V13" s="63"/>
      <c r="W13" s="63"/>
      <c r="X13" s="63"/>
      <c r="Y13" s="64"/>
      <c r="Z13" s="62"/>
      <c r="AA13" s="63" t="s">
        <v>59</v>
      </c>
      <c r="AB13" s="63"/>
      <c r="AC13" s="63"/>
      <c r="AD13" s="63"/>
      <c r="AE13" s="63"/>
      <c r="AF13" s="64"/>
      <c r="AG13" s="65">
        <f t="shared" si="8"/>
        <v>7</v>
      </c>
      <c r="AH13" s="66">
        <f t="shared" si="0"/>
        <v>4</v>
      </c>
      <c r="AI13" s="67">
        <f t="shared" si="0"/>
        <v>2</v>
      </c>
      <c r="AJ13" s="67">
        <f t="shared" si="1"/>
        <v>0</v>
      </c>
      <c r="AK13" s="67">
        <f t="shared" si="2"/>
        <v>0</v>
      </c>
      <c r="AL13" s="67">
        <f t="shared" si="3"/>
        <v>0</v>
      </c>
      <c r="AM13" s="67">
        <f t="shared" si="4"/>
        <v>0</v>
      </c>
      <c r="AN13" s="67">
        <f t="shared" si="5"/>
        <v>0</v>
      </c>
      <c r="AO13" s="68">
        <f t="shared" si="6"/>
        <v>1</v>
      </c>
      <c r="AP13" s="69">
        <f t="shared" si="7"/>
        <v>0</v>
      </c>
      <c r="AQ13" s="67">
        <f t="shared" si="7"/>
        <v>0</v>
      </c>
      <c r="AR13" s="67">
        <f t="shared" si="7"/>
        <v>0</v>
      </c>
      <c r="AS13" s="67">
        <f t="shared" si="7"/>
        <v>0</v>
      </c>
      <c r="AT13" s="67">
        <f t="shared" si="7"/>
        <v>0</v>
      </c>
      <c r="AU13" s="68">
        <f t="shared" si="7"/>
        <v>0</v>
      </c>
    </row>
    <row r="14" spans="1:48" ht="17.5" thickBot="1" x14ac:dyDescent="0.5">
      <c r="A14" s="76" t="s">
        <v>67</v>
      </c>
      <c r="B14" s="159">
        <v>20</v>
      </c>
      <c r="C14" s="77"/>
      <c r="D14" s="78"/>
      <c r="E14" s="149" t="s">
        <v>107</v>
      </c>
      <c r="F14" s="148" t="s">
        <v>108</v>
      </c>
      <c r="G14" s="79"/>
      <c r="H14" s="79"/>
      <c r="I14" s="79" t="s">
        <v>59</v>
      </c>
      <c r="J14" s="79"/>
      <c r="K14" s="80"/>
      <c r="L14" s="81"/>
      <c r="M14" s="79"/>
      <c r="N14" s="79"/>
      <c r="O14" s="79"/>
      <c r="P14" s="79" t="s">
        <v>59</v>
      </c>
      <c r="Q14" s="79"/>
      <c r="R14" s="80"/>
      <c r="S14" s="81"/>
      <c r="T14" s="79"/>
      <c r="U14" s="79"/>
      <c r="V14" s="79"/>
      <c r="W14" s="79" t="s">
        <v>59</v>
      </c>
      <c r="X14" s="79"/>
      <c r="Y14" s="80"/>
      <c r="Z14" s="81"/>
      <c r="AA14" s="79"/>
      <c r="AB14" s="79"/>
      <c r="AC14" s="148" t="s">
        <v>110</v>
      </c>
      <c r="AD14" s="79" t="s">
        <v>59</v>
      </c>
      <c r="AE14" s="148" t="s">
        <v>109</v>
      </c>
      <c r="AF14" s="156" t="s">
        <v>108</v>
      </c>
      <c r="AG14" s="82">
        <f t="shared" si="8"/>
        <v>9</v>
      </c>
      <c r="AH14" s="83">
        <f t="shared" si="0"/>
        <v>4</v>
      </c>
      <c r="AI14" s="84">
        <f t="shared" si="0"/>
        <v>2</v>
      </c>
      <c r="AJ14" s="84">
        <f t="shared" si="1"/>
        <v>1</v>
      </c>
      <c r="AK14" s="84">
        <f t="shared" si="2"/>
        <v>0</v>
      </c>
      <c r="AL14" s="84">
        <f t="shared" si="3"/>
        <v>0</v>
      </c>
      <c r="AM14" s="84">
        <f t="shared" si="4"/>
        <v>1</v>
      </c>
      <c r="AN14" s="84">
        <f t="shared" si="5"/>
        <v>0</v>
      </c>
      <c r="AO14" s="85">
        <f t="shared" si="6"/>
        <v>1</v>
      </c>
      <c r="AP14" s="86">
        <f t="shared" si="7"/>
        <v>0</v>
      </c>
      <c r="AQ14" s="84">
        <f t="shared" si="7"/>
        <v>0</v>
      </c>
      <c r="AR14" s="84">
        <f t="shared" si="7"/>
        <v>0</v>
      </c>
      <c r="AS14" s="84">
        <f t="shared" si="7"/>
        <v>0</v>
      </c>
      <c r="AT14" s="84">
        <f t="shared" si="7"/>
        <v>0</v>
      </c>
      <c r="AU14" s="85">
        <f t="shared" si="7"/>
        <v>0</v>
      </c>
    </row>
    <row r="15" spans="1:48" ht="17.5" thickBot="1" x14ac:dyDescent="0.5">
      <c r="A15" s="87" t="s">
        <v>68</v>
      </c>
      <c r="B15" s="159">
        <v>20</v>
      </c>
      <c r="C15" s="88">
        <v>1</v>
      </c>
      <c r="D15" s="89"/>
      <c r="E15" s="147" t="s">
        <v>107</v>
      </c>
      <c r="F15" s="146" t="s">
        <v>106</v>
      </c>
      <c r="G15" s="146" t="s">
        <v>119</v>
      </c>
      <c r="H15" s="52"/>
      <c r="I15" s="52"/>
      <c r="J15" s="52" t="s">
        <v>59</v>
      </c>
      <c r="K15" s="53"/>
      <c r="L15" s="51"/>
      <c r="M15" s="52"/>
      <c r="N15" s="52"/>
      <c r="O15" s="52"/>
      <c r="P15" s="52"/>
      <c r="Q15" s="52" t="s">
        <v>59</v>
      </c>
      <c r="R15" s="53"/>
      <c r="S15" s="51"/>
      <c r="T15" s="52"/>
      <c r="U15" s="146" t="s">
        <v>105</v>
      </c>
      <c r="V15" s="52"/>
      <c r="W15" s="52"/>
      <c r="X15" s="52" t="s">
        <v>59</v>
      </c>
      <c r="Y15" s="53"/>
      <c r="Z15" s="51"/>
      <c r="AA15" s="52"/>
      <c r="AB15" s="146" t="s">
        <v>105</v>
      </c>
      <c r="AC15" s="52"/>
      <c r="AD15" s="146" t="s">
        <v>111</v>
      </c>
      <c r="AE15" s="52" t="s">
        <v>59</v>
      </c>
      <c r="AF15" s="53"/>
      <c r="AG15" s="54">
        <f t="shared" si="8"/>
        <v>6</v>
      </c>
      <c r="AH15" s="55">
        <f t="shared" si="0"/>
        <v>4</v>
      </c>
      <c r="AI15" s="56">
        <f t="shared" si="0"/>
        <v>1</v>
      </c>
      <c r="AJ15" s="56">
        <f t="shared" si="1"/>
        <v>1</v>
      </c>
      <c r="AK15" s="56">
        <f t="shared" si="2"/>
        <v>0</v>
      </c>
      <c r="AL15" s="56">
        <f t="shared" si="3"/>
        <v>0</v>
      </c>
      <c r="AM15" s="56">
        <f t="shared" si="4"/>
        <v>0</v>
      </c>
      <c r="AN15" s="56">
        <f t="shared" si="5"/>
        <v>0</v>
      </c>
      <c r="AO15" s="90">
        <f t="shared" si="6"/>
        <v>0</v>
      </c>
      <c r="AP15" s="58">
        <f t="shared" si="7"/>
        <v>0</v>
      </c>
      <c r="AQ15" s="56">
        <f t="shared" si="7"/>
        <v>1</v>
      </c>
      <c r="AR15" s="56">
        <f t="shared" si="7"/>
        <v>0</v>
      </c>
      <c r="AS15" s="56">
        <f t="shared" si="7"/>
        <v>2</v>
      </c>
      <c r="AT15" s="56">
        <f t="shared" si="7"/>
        <v>0</v>
      </c>
      <c r="AU15" s="57">
        <f t="shared" si="7"/>
        <v>1</v>
      </c>
    </row>
    <row r="16" spans="1:48" ht="17.5" thickBot="1" x14ac:dyDescent="0.5">
      <c r="A16" s="91" t="s">
        <v>69</v>
      </c>
      <c r="B16" s="159">
        <v>20</v>
      </c>
      <c r="C16" s="92"/>
      <c r="D16" s="93"/>
      <c r="E16" s="62"/>
      <c r="F16" s="63"/>
      <c r="G16" s="63"/>
      <c r="H16" s="63"/>
      <c r="I16" s="63"/>
      <c r="J16" s="63" t="s">
        <v>59</v>
      </c>
      <c r="K16" s="64"/>
      <c r="L16" s="62"/>
      <c r="M16" s="63"/>
      <c r="N16" s="63"/>
      <c r="O16" s="63"/>
      <c r="P16" s="63"/>
      <c r="Q16" s="63" t="s">
        <v>59</v>
      </c>
      <c r="R16" s="64"/>
      <c r="S16" s="62"/>
      <c r="T16" s="63"/>
      <c r="U16" s="63"/>
      <c r="V16" s="63"/>
      <c r="W16" s="63"/>
      <c r="X16" s="63" t="s">
        <v>59</v>
      </c>
      <c r="Y16" s="64"/>
      <c r="Z16" s="62"/>
      <c r="AA16" s="63"/>
      <c r="AB16" s="63"/>
      <c r="AC16" s="63"/>
      <c r="AD16" s="63"/>
      <c r="AE16" s="63" t="s">
        <v>59</v>
      </c>
      <c r="AF16" s="64"/>
      <c r="AG16" s="65">
        <f t="shared" si="8"/>
        <v>4</v>
      </c>
      <c r="AH16" s="66">
        <f t="shared" si="0"/>
        <v>4</v>
      </c>
      <c r="AI16" s="67">
        <f t="shared" si="0"/>
        <v>0</v>
      </c>
      <c r="AJ16" s="67">
        <f t="shared" si="1"/>
        <v>0</v>
      </c>
      <c r="AK16" s="67">
        <f t="shared" si="2"/>
        <v>0</v>
      </c>
      <c r="AL16" s="67">
        <f t="shared" si="3"/>
        <v>0</v>
      </c>
      <c r="AM16" s="67">
        <f t="shared" si="4"/>
        <v>0</v>
      </c>
      <c r="AN16" s="67">
        <f t="shared" si="5"/>
        <v>0</v>
      </c>
      <c r="AO16" s="94">
        <f t="shared" si="6"/>
        <v>0</v>
      </c>
      <c r="AP16" s="69">
        <f t="shared" si="7"/>
        <v>0</v>
      </c>
      <c r="AQ16" s="67">
        <f t="shared" si="7"/>
        <v>0</v>
      </c>
      <c r="AR16" s="67">
        <f t="shared" si="7"/>
        <v>0</v>
      </c>
      <c r="AS16" s="67">
        <f t="shared" si="7"/>
        <v>0</v>
      </c>
      <c r="AT16" s="67">
        <f t="shared" si="7"/>
        <v>0</v>
      </c>
      <c r="AU16" s="68">
        <f t="shared" si="7"/>
        <v>0</v>
      </c>
    </row>
    <row r="17" spans="1:47" ht="17.5" thickBot="1" x14ac:dyDescent="0.5">
      <c r="A17" s="91" t="s">
        <v>70</v>
      </c>
      <c r="B17" s="159">
        <v>20</v>
      </c>
      <c r="C17" s="92"/>
      <c r="D17" s="93"/>
      <c r="E17" s="62"/>
      <c r="F17" s="63"/>
      <c r="G17" s="63"/>
      <c r="H17" s="63"/>
      <c r="I17" s="63" t="s">
        <v>59</v>
      </c>
      <c r="J17" s="63"/>
      <c r="K17" s="64"/>
      <c r="L17" s="62"/>
      <c r="M17" s="63"/>
      <c r="N17" s="63"/>
      <c r="O17" s="63"/>
      <c r="P17" s="63" t="s">
        <v>59</v>
      </c>
      <c r="Q17" s="63"/>
      <c r="R17" s="64"/>
      <c r="S17" s="62"/>
      <c r="T17" s="63"/>
      <c r="U17" s="63"/>
      <c r="V17" s="63"/>
      <c r="W17" s="63" t="s">
        <v>59</v>
      </c>
      <c r="X17" s="63"/>
      <c r="Y17" s="64"/>
      <c r="Z17" s="62"/>
      <c r="AA17" s="63"/>
      <c r="AB17" s="63"/>
      <c r="AC17" s="63"/>
      <c r="AD17" s="63" t="s">
        <v>59</v>
      </c>
      <c r="AE17" s="63"/>
      <c r="AF17" s="64"/>
      <c r="AG17" s="65">
        <f t="shared" si="8"/>
        <v>4</v>
      </c>
      <c r="AH17" s="66">
        <f t="shared" si="0"/>
        <v>4</v>
      </c>
      <c r="AI17" s="67">
        <f t="shared" si="0"/>
        <v>0</v>
      </c>
      <c r="AJ17" s="67">
        <f t="shared" si="1"/>
        <v>0</v>
      </c>
      <c r="AK17" s="67">
        <f t="shared" si="2"/>
        <v>0</v>
      </c>
      <c r="AL17" s="67">
        <f t="shared" si="3"/>
        <v>0</v>
      </c>
      <c r="AM17" s="67">
        <f t="shared" si="4"/>
        <v>0</v>
      </c>
      <c r="AN17" s="67">
        <f t="shared" si="5"/>
        <v>0</v>
      </c>
      <c r="AO17" s="94">
        <f t="shared" si="6"/>
        <v>0</v>
      </c>
      <c r="AP17" s="69">
        <f t="shared" si="7"/>
        <v>0</v>
      </c>
      <c r="AQ17" s="67">
        <f t="shared" si="7"/>
        <v>0</v>
      </c>
      <c r="AR17" s="67">
        <f t="shared" si="7"/>
        <v>0</v>
      </c>
      <c r="AS17" s="67">
        <f t="shared" si="7"/>
        <v>0</v>
      </c>
      <c r="AT17" s="67">
        <f t="shared" si="7"/>
        <v>0</v>
      </c>
      <c r="AU17" s="68">
        <f t="shared" si="7"/>
        <v>0</v>
      </c>
    </row>
    <row r="18" spans="1:47" ht="17.5" thickBot="1" x14ac:dyDescent="0.5">
      <c r="A18" s="91" t="s">
        <v>71</v>
      </c>
      <c r="B18" s="159">
        <v>20</v>
      </c>
      <c r="C18" s="92"/>
      <c r="D18" s="93"/>
      <c r="E18" s="62"/>
      <c r="F18" s="63"/>
      <c r="G18" s="63"/>
      <c r="H18" s="63" t="s">
        <v>59</v>
      </c>
      <c r="I18" s="144" t="s">
        <v>119</v>
      </c>
      <c r="J18" s="63"/>
      <c r="K18" s="145" t="s">
        <v>110</v>
      </c>
      <c r="L18" s="62"/>
      <c r="M18" s="63"/>
      <c r="N18" s="63"/>
      <c r="O18" s="63" t="s">
        <v>59</v>
      </c>
      <c r="P18" s="63"/>
      <c r="Q18" s="144" t="s">
        <v>120</v>
      </c>
      <c r="R18" s="145" t="s">
        <v>106</v>
      </c>
      <c r="S18" s="150" t="s">
        <v>121</v>
      </c>
      <c r="T18" s="144" t="s">
        <v>122</v>
      </c>
      <c r="U18" s="63"/>
      <c r="V18" s="63" t="s">
        <v>59</v>
      </c>
      <c r="W18" s="63"/>
      <c r="X18" s="63"/>
      <c r="Y18" s="64"/>
      <c r="Z18" s="150" t="s">
        <v>106</v>
      </c>
      <c r="AA18" s="63"/>
      <c r="AB18" s="63"/>
      <c r="AC18" s="63" t="s">
        <v>59</v>
      </c>
      <c r="AD18" s="144" t="s">
        <v>122</v>
      </c>
      <c r="AE18" s="63"/>
      <c r="AF18" s="64"/>
      <c r="AG18" s="65">
        <f t="shared" si="8"/>
        <v>8</v>
      </c>
      <c r="AH18" s="66">
        <f t="shared" si="0"/>
        <v>4</v>
      </c>
      <c r="AI18" s="67">
        <f t="shared" si="0"/>
        <v>2</v>
      </c>
      <c r="AJ18" s="67">
        <f t="shared" si="1"/>
        <v>0</v>
      </c>
      <c r="AK18" s="67">
        <f t="shared" si="2"/>
        <v>1</v>
      </c>
      <c r="AL18" s="67">
        <f t="shared" si="3"/>
        <v>0</v>
      </c>
      <c r="AM18" s="67">
        <f t="shared" si="4"/>
        <v>0</v>
      </c>
      <c r="AN18" s="67">
        <f t="shared" si="5"/>
        <v>0</v>
      </c>
      <c r="AO18" s="94">
        <f t="shared" si="6"/>
        <v>1</v>
      </c>
      <c r="AP18" s="69">
        <f t="shared" si="7"/>
        <v>0</v>
      </c>
      <c r="AQ18" s="67">
        <f t="shared" si="7"/>
        <v>0</v>
      </c>
      <c r="AR18" s="67">
        <f t="shared" si="7"/>
        <v>0</v>
      </c>
      <c r="AS18" s="67">
        <f t="shared" si="7"/>
        <v>0</v>
      </c>
      <c r="AT18" s="67">
        <f t="shared" si="7"/>
        <v>1</v>
      </c>
      <c r="AU18" s="68">
        <f t="shared" si="7"/>
        <v>1</v>
      </c>
    </row>
    <row r="19" spans="1:47" ht="17.5" thickBot="1" x14ac:dyDescent="0.5">
      <c r="A19" s="95" t="s">
        <v>72</v>
      </c>
      <c r="B19" s="159">
        <v>20</v>
      </c>
      <c r="C19" s="92"/>
      <c r="D19" s="93">
        <v>1</v>
      </c>
      <c r="E19" s="62" t="s">
        <v>59</v>
      </c>
      <c r="F19" s="63"/>
      <c r="G19" s="145" t="s">
        <v>112</v>
      </c>
      <c r="H19" s="144" t="s">
        <v>46</v>
      </c>
      <c r="I19" s="144" t="s">
        <v>122</v>
      </c>
      <c r="J19" s="63"/>
      <c r="K19" s="64"/>
      <c r="L19" s="62" t="s">
        <v>59</v>
      </c>
      <c r="M19" s="63"/>
      <c r="N19" s="63"/>
      <c r="O19" s="144" t="s">
        <v>122</v>
      </c>
      <c r="P19" s="144" t="s">
        <v>122</v>
      </c>
      <c r="Q19" s="63"/>
      <c r="R19" s="63"/>
      <c r="S19" s="62" t="s">
        <v>59</v>
      </c>
      <c r="T19" s="63"/>
      <c r="U19" s="63"/>
      <c r="V19" s="144" t="s">
        <v>122</v>
      </c>
      <c r="W19" s="63"/>
      <c r="X19" s="145" t="s">
        <v>106</v>
      </c>
      <c r="Y19" s="145" t="s">
        <v>110</v>
      </c>
      <c r="Z19" s="62" t="s">
        <v>59</v>
      </c>
      <c r="AA19" s="63"/>
      <c r="AB19" s="63"/>
      <c r="AC19" s="144" t="s">
        <v>122</v>
      </c>
      <c r="AD19" s="144" t="s">
        <v>122</v>
      </c>
      <c r="AE19" s="63"/>
      <c r="AF19" s="64"/>
      <c r="AG19" s="65">
        <f t="shared" si="8"/>
        <v>7</v>
      </c>
      <c r="AH19" s="66">
        <f t="shared" si="0"/>
        <v>4</v>
      </c>
      <c r="AI19" s="67">
        <f t="shared" si="0"/>
        <v>2</v>
      </c>
      <c r="AJ19" s="67">
        <f t="shared" si="1"/>
        <v>0</v>
      </c>
      <c r="AK19" s="67">
        <f t="shared" si="2"/>
        <v>0</v>
      </c>
      <c r="AL19" s="67">
        <f t="shared" si="3"/>
        <v>0</v>
      </c>
      <c r="AM19" s="67">
        <f t="shared" si="4"/>
        <v>0</v>
      </c>
      <c r="AN19" s="67">
        <f t="shared" si="5"/>
        <v>0</v>
      </c>
      <c r="AO19" s="94">
        <f t="shared" si="6"/>
        <v>1</v>
      </c>
      <c r="AP19" s="69">
        <f t="shared" si="7"/>
        <v>0</v>
      </c>
      <c r="AQ19" s="67">
        <f t="shared" si="7"/>
        <v>0</v>
      </c>
      <c r="AR19" s="67">
        <f t="shared" si="7"/>
        <v>0</v>
      </c>
      <c r="AS19" s="67">
        <f t="shared" si="7"/>
        <v>0</v>
      </c>
      <c r="AT19" s="67">
        <f t="shared" si="7"/>
        <v>0</v>
      </c>
      <c r="AU19" s="68">
        <f t="shared" si="7"/>
        <v>0</v>
      </c>
    </row>
    <row r="20" spans="1:47" x14ac:dyDescent="0.45">
      <c r="A20" s="96" t="s">
        <v>73</v>
      </c>
      <c r="B20" s="159">
        <v>20</v>
      </c>
      <c r="C20" s="97"/>
      <c r="D20" s="98"/>
      <c r="E20" s="62"/>
      <c r="F20" s="63" t="s">
        <v>59</v>
      </c>
      <c r="G20" s="63"/>
      <c r="H20" s="63"/>
      <c r="I20" s="63"/>
      <c r="J20" s="63"/>
      <c r="K20" s="64"/>
      <c r="L20" s="62"/>
      <c r="M20" s="63" t="s">
        <v>59</v>
      </c>
      <c r="N20" s="63"/>
      <c r="O20" s="63"/>
      <c r="P20" s="63"/>
      <c r="Q20" s="144" t="s">
        <v>119</v>
      </c>
      <c r="R20" s="64"/>
      <c r="S20" s="62"/>
      <c r="T20" s="63" t="s">
        <v>59</v>
      </c>
      <c r="U20" s="144" t="s">
        <v>110</v>
      </c>
      <c r="V20" s="144" t="s">
        <v>106</v>
      </c>
      <c r="W20" s="63"/>
      <c r="X20" s="63"/>
      <c r="Y20" s="64"/>
      <c r="Z20" s="62"/>
      <c r="AA20" s="63" t="s">
        <v>59</v>
      </c>
      <c r="AB20" s="144" t="s">
        <v>121</v>
      </c>
      <c r="AC20" s="144" t="s">
        <v>119</v>
      </c>
      <c r="AD20" s="63"/>
      <c r="AE20" s="63"/>
      <c r="AF20" s="64"/>
      <c r="AG20" s="65">
        <f t="shared" si="8"/>
        <v>7</v>
      </c>
      <c r="AH20" s="66">
        <f t="shared" si="0"/>
        <v>4</v>
      </c>
      <c r="AI20" s="67">
        <f t="shared" si="0"/>
        <v>1</v>
      </c>
      <c r="AJ20" s="67">
        <f t="shared" si="1"/>
        <v>0</v>
      </c>
      <c r="AK20" s="67">
        <f t="shared" si="2"/>
        <v>1</v>
      </c>
      <c r="AL20" s="67">
        <f t="shared" si="3"/>
        <v>0</v>
      </c>
      <c r="AM20" s="67">
        <f t="shared" si="4"/>
        <v>0</v>
      </c>
      <c r="AN20" s="67">
        <f t="shared" si="5"/>
        <v>0</v>
      </c>
      <c r="AO20" s="94">
        <f t="shared" si="6"/>
        <v>1</v>
      </c>
      <c r="AP20" s="69">
        <f t="shared" si="7"/>
        <v>0</v>
      </c>
      <c r="AQ20" s="67">
        <f t="shared" si="7"/>
        <v>0</v>
      </c>
      <c r="AR20" s="67">
        <f t="shared" si="7"/>
        <v>0</v>
      </c>
      <c r="AS20" s="67">
        <f t="shared" si="7"/>
        <v>0</v>
      </c>
      <c r="AT20" s="67">
        <f t="shared" si="7"/>
        <v>0</v>
      </c>
      <c r="AU20" s="68">
        <f t="shared" si="7"/>
        <v>2</v>
      </c>
    </row>
    <row r="21" spans="1:47" x14ac:dyDescent="0.45">
      <c r="A21" s="96" t="s">
        <v>74</v>
      </c>
      <c r="B21" s="96">
        <v>17</v>
      </c>
      <c r="C21" s="97"/>
      <c r="D21" s="98"/>
      <c r="E21" s="62"/>
      <c r="F21" s="63"/>
      <c r="G21" s="63"/>
      <c r="H21" s="63"/>
      <c r="I21" s="63"/>
      <c r="J21" s="63"/>
      <c r="K21" s="64" t="s">
        <v>59</v>
      </c>
      <c r="L21" s="62"/>
      <c r="M21" s="63"/>
      <c r="N21" s="63"/>
      <c r="O21" s="63"/>
      <c r="P21" s="63"/>
      <c r="Q21" s="63"/>
      <c r="R21" s="64" t="s">
        <v>59</v>
      </c>
      <c r="S21" s="62"/>
      <c r="T21" s="63"/>
      <c r="U21" s="63"/>
      <c r="V21" s="63"/>
      <c r="W21" s="63"/>
      <c r="X21" s="63"/>
      <c r="Y21" s="64" t="s">
        <v>59</v>
      </c>
      <c r="Z21" s="62"/>
      <c r="AA21" s="63"/>
      <c r="AB21" s="63"/>
      <c r="AC21" s="63"/>
      <c r="AD21" s="63"/>
      <c r="AE21" s="63"/>
      <c r="AF21" s="64" t="s">
        <v>59</v>
      </c>
      <c r="AG21" s="65">
        <f t="shared" si="8"/>
        <v>4</v>
      </c>
      <c r="AH21" s="66">
        <f t="shared" si="0"/>
        <v>4</v>
      </c>
      <c r="AI21" s="67">
        <f t="shared" si="0"/>
        <v>0</v>
      </c>
      <c r="AJ21" s="67">
        <f t="shared" si="1"/>
        <v>0</v>
      </c>
      <c r="AK21" s="67">
        <f t="shared" si="2"/>
        <v>0</v>
      </c>
      <c r="AL21" s="67">
        <f t="shared" si="3"/>
        <v>0</v>
      </c>
      <c r="AM21" s="67">
        <f t="shared" si="4"/>
        <v>0</v>
      </c>
      <c r="AN21" s="67">
        <f t="shared" si="5"/>
        <v>0</v>
      </c>
      <c r="AO21" s="94">
        <f t="shared" si="6"/>
        <v>0</v>
      </c>
      <c r="AP21" s="69">
        <f t="shared" si="7"/>
        <v>0</v>
      </c>
      <c r="AQ21" s="67">
        <f t="shared" si="7"/>
        <v>0</v>
      </c>
      <c r="AR21" s="67">
        <f t="shared" si="7"/>
        <v>0</v>
      </c>
      <c r="AS21" s="67">
        <f t="shared" si="7"/>
        <v>0</v>
      </c>
      <c r="AT21" s="67">
        <f t="shared" si="7"/>
        <v>0</v>
      </c>
      <c r="AU21" s="68">
        <f t="shared" si="7"/>
        <v>0</v>
      </c>
    </row>
    <row r="22" spans="1:47" x14ac:dyDescent="0.45">
      <c r="A22" s="96" t="s">
        <v>75</v>
      </c>
      <c r="B22" s="96">
        <v>17</v>
      </c>
      <c r="C22" s="97"/>
      <c r="D22" s="98"/>
      <c r="E22" s="62"/>
      <c r="F22" s="63"/>
      <c r="G22" s="63" t="s">
        <v>59</v>
      </c>
      <c r="H22" s="63"/>
      <c r="I22" s="99"/>
      <c r="J22" s="144" t="s">
        <v>120</v>
      </c>
      <c r="K22" s="64"/>
      <c r="L22" s="62"/>
      <c r="M22" s="63"/>
      <c r="N22" s="63" t="s">
        <v>59</v>
      </c>
      <c r="O22" s="63"/>
      <c r="P22" s="99"/>
      <c r="Q22" s="63"/>
      <c r="R22" s="145" t="s">
        <v>106</v>
      </c>
      <c r="S22" s="150" t="s">
        <v>106</v>
      </c>
      <c r="T22" s="63"/>
      <c r="U22" s="99" t="s">
        <v>59</v>
      </c>
      <c r="V22" s="99"/>
      <c r="W22" s="99"/>
      <c r="X22" s="144" t="s">
        <v>105</v>
      </c>
      <c r="Y22" s="145" t="s">
        <v>119</v>
      </c>
      <c r="Z22" s="62"/>
      <c r="AA22" s="63"/>
      <c r="AB22" s="63" t="s">
        <v>59</v>
      </c>
      <c r="AC22" s="144" t="s">
        <v>106</v>
      </c>
      <c r="AD22" s="99"/>
      <c r="AE22" s="63"/>
      <c r="AF22" s="64"/>
      <c r="AG22" s="65">
        <f t="shared" si="8"/>
        <v>7</v>
      </c>
      <c r="AH22" s="66">
        <f t="shared" si="0"/>
        <v>4</v>
      </c>
      <c r="AI22" s="67">
        <f t="shared" si="0"/>
        <v>3</v>
      </c>
      <c r="AJ22" s="67">
        <f t="shared" si="1"/>
        <v>0</v>
      </c>
      <c r="AK22" s="67">
        <f t="shared" si="2"/>
        <v>0</v>
      </c>
      <c r="AL22" s="67">
        <f t="shared" si="3"/>
        <v>0</v>
      </c>
      <c r="AM22" s="67">
        <f t="shared" si="4"/>
        <v>0</v>
      </c>
      <c r="AN22" s="67">
        <f t="shared" si="5"/>
        <v>0</v>
      </c>
      <c r="AO22" s="94">
        <f t="shared" si="6"/>
        <v>0</v>
      </c>
      <c r="AP22" s="69">
        <f t="shared" si="7"/>
        <v>0</v>
      </c>
      <c r="AQ22" s="67">
        <f t="shared" si="7"/>
        <v>0</v>
      </c>
      <c r="AR22" s="67">
        <f t="shared" si="7"/>
        <v>0</v>
      </c>
      <c r="AS22" s="67">
        <f t="shared" si="7"/>
        <v>1</v>
      </c>
      <c r="AT22" s="67">
        <f t="shared" si="7"/>
        <v>1</v>
      </c>
      <c r="AU22" s="68">
        <f t="shared" si="7"/>
        <v>1</v>
      </c>
    </row>
    <row r="23" spans="1:47" x14ac:dyDescent="0.45">
      <c r="A23" s="96" t="s">
        <v>76</v>
      </c>
      <c r="B23" s="96">
        <v>17</v>
      </c>
      <c r="C23" s="97"/>
      <c r="D23" s="100"/>
      <c r="E23" s="62"/>
      <c r="F23" s="63"/>
      <c r="G23" s="63"/>
      <c r="H23" s="63" t="s">
        <v>59</v>
      </c>
      <c r="I23" s="63"/>
      <c r="J23" s="63"/>
      <c r="K23" s="64"/>
      <c r="L23" s="62"/>
      <c r="M23" s="63"/>
      <c r="N23" s="63"/>
      <c r="O23" s="63" t="s">
        <v>59</v>
      </c>
      <c r="P23" s="63"/>
      <c r="Q23" s="63"/>
      <c r="R23" s="145" t="s">
        <v>106</v>
      </c>
      <c r="S23" s="62"/>
      <c r="T23" s="63"/>
      <c r="U23" s="63"/>
      <c r="V23" s="63" t="s">
        <v>59</v>
      </c>
      <c r="W23" s="63"/>
      <c r="X23" s="63"/>
      <c r="Y23" s="64"/>
      <c r="Z23" s="62"/>
      <c r="AA23" s="63"/>
      <c r="AB23" s="63"/>
      <c r="AC23" s="63" t="s">
        <v>59</v>
      </c>
      <c r="AD23" s="144" t="s">
        <v>111</v>
      </c>
      <c r="AE23" s="63"/>
      <c r="AF23" s="64"/>
      <c r="AG23" s="65">
        <f t="shared" si="8"/>
        <v>5</v>
      </c>
      <c r="AH23" s="66">
        <f t="shared" si="0"/>
        <v>4</v>
      </c>
      <c r="AI23" s="67">
        <f t="shared" si="0"/>
        <v>1</v>
      </c>
      <c r="AJ23" s="67">
        <f t="shared" si="1"/>
        <v>0</v>
      </c>
      <c r="AK23" s="67">
        <f t="shared" si="2"/>
        <v>0</v>
      </c>
      <c r="AL23" s="67">
        <f t="shared" si="3"/>
        <v>0</v>
      </c>
      <c r="AM23" s="67">
        <f t="shared" si="4"/>
        <v>0</v>
      </c>
      <c r="AN23" s="67">
        <f t="shared" si="5"/>
        <v>0</v>
      </c>
      <c r="AO23" s="94">
        <f t="shared" si="6"/>
        <v>0</v>
      </c>
      <c r="AP23" s="69">
        <f t="shared" si="7"/>
        <v>0</v>
      </c>
      <c r="AQ23" s="67">
        <f t="shared" si="7"/>
        <v>1</v>
      </c>
      <c r="AR23" s="67">
        <f t="shared" si="7"/>
        <v>0</v>
      </c>
      <c r="AS23" s="67">
        <f t="shared" si="7"/>
        <v>0</v>
      </c>
      <c r="AT23" s="67">
        <f t="shared" si="7"/>
        <v>0</v>
      </c>
      <c r="AU23" s="68">
        <f t="shared" si="7"/>
        <v>0</v>
      </c>
    </row>
    <row r="24" spans="1:47" x14ac:dyDescent="0.45">
      <c r="A24" s="101" t="s">
        <v>77</v>
      </c>
      <c r="B24" s="96">
        <v>17</v>
      </c>
      <c r="C24" s="97"/>
      <c r="D24" s="98"/>
      <c r="E24" s="62"/>
      <c r="F24" s="63"/>
      <c r="G24" s="63"/>
      <c r="H24" s="63"/>
      <c r="I24" s="63"/>
      <c r="J24" s="63"/>
      <c r="K24" s="64" t="s">
        <v>59</v>
      </c>
      <c r="L24" s="62"/>
      <c r="M24" s="63"/>
      <c r="N24" s="63"/>
      <c r="O24" s="63"/>
      <c r="P24" s="63"/>
      <c r="Q24" s="144" t="s">
        <v>106</v>
      </c>
      <c r="R24" s="64" t="s">
        <v>59</v>
      </c>
      <c r="S24" s="62"/>
      <c r="T24" s="63"/>
      <c r="U24" s="63"/>
      <c r="V24" s="63"/>
      <c r="W24" s="63"/>
      <c r="X24" s="63"/>
      <c r="Y24" s="64" t="s">
        <v>59</v>
      </c>
      <c r="Z24" s="62"/>
      <c r="AA24" s="63"/>
      <c r="AB24" s="63"/>
      <c r="AC24" s="63"/>
      <c r="AD24" s="63"/>
      <c r="AE24" s="144" t="s">
        <v>123</v>
      </c>
      <c r="AF24" s="64" t="s">
        <v>59</v>
      </c>
      <c r="AG24" s="65">
        <f t="shared" si="8"/>
        <v>6</v>
      </c>
      <c r="AH24" s="66">
        <f t="shared" si="0"/>
        <v>4</v>
      </c>
      <c r="AI24" s="67">
        <f t="shared" si="0"/>
        <v>2</v>
      </c>
      <c r="AJ24" s="67">
        <f t="shared" si="1"/>
        <v>0</v>
      </c>
      <c r="AK24" s="67">
        <f t="shared" si="2"/>
        <v>0</v>
      </c>
      <c r="AL24" s="67">
        <f t="shared" si="3"/>
        <v>0</v>
      </c>
      <c r="AM24" s="67">
        <f t="shared" si="4"/>
        <v>0</v>
      </c>
      <c r="AN24" s="67">
        <f t="shared" si="5"/>
        <v>0</v>
      </c>
      <c r="AO24" s="94">
        <f t="shared" si="6"/>
        <v>0</v>
      </c>
      <c r="AP24" s="69">
        <f t="shared" ref="AP24:AU40" si="9">COUNTIF($E24:$AF24,AP$5)</f>
        <v>0</v>
      </c>
      <c r="AQ24" s="67">
        <f t="shared" si="9"/>
        <v>0</v>
      </c>
      <c r="AR24" s="67">
        <f t="shared" si="9"/>
        <v>0</v>
      </c>
      <c r="AS24" s="67">
        <f t="shared" si="9"/>
        <v>0</v>
      </c>
      <c r="AT24" s="67">
        <f t="shared" si="9"/>
        <v>0</v>
      </c>
      <c r="AU24" s="68">
        <f t="shared" si="9"/>
        <v>0</v>
      </c>
    </row>
    <row r="25" spans="1:47" x14ac:dyDescent="0.45">
      <c r="A25" s="96" t="s">
        <v>78</v>
      </c>
      <c r="B25" s="96">
        <v>17</v>
      </c>
      <c r="C25" s="97"/>
      <c r="D25" s="98"/>
      <c r="E25" s="62"/>
      <c r="F25" s="63"/>
      <c r="G25" s="63"/>
      <c r="H25" s="63"/>
      <c r="I25" s="63" t="s">
        <v>59</v>
      </c>
      <c r="J25" s="144" t="s">
        <v>106</v>
      </c>
      <c r="K25" s="64"/>
      <c r="L25" s="62"/>
      <c r="M25" s="144" t="s">
        <v>105</v>
      </c>
      <c r="N25" s="144" t="s">
        <v>110</v>
      </c>
      <c r="O25" s="144" t="s">
        <v>106</v>
      </c>
      <c r="P25" s="63" t="s">
        <v>59</v>
      </c>
      <c r="Q25" s="63"/>
      <c r="R25" s="64"/>
      <c r="S25" s="62"/>
      <c r="T25" s="63"/>
      <c r="U25" s="63"/>
      <c r="V25" s="63"/>
      <c r="W25" s="63" t="s">
        <v>59</v>
      </c>
      <c r="X25" s="63"/>
      <c r="Y25" s="64"/>
      <c r="Z25" s="62"/>
      <c r="AA25" s="63"/>
      <c r="AB25" s="63"/>
      <c r="AC25" s="63"/>
      <c r="AD25" s="63" t="s">
        <v>59</v>
      </c>
      <c r="AE25" s="144" t="s">
        <v>106</v>
      </c>
      <c r="AF25" s="64"/>
      <c r="AG25" s="65">
        <f t="shared" si="8"/>
        <v>8</v>
      </c>
      <c r="AH25" s="66">
        <f t="shared" si="0"/>
        <v>4</v>
      </c>
      <c r="AI25" s="67">
        <f t="shared" si="0"/>
        <v>3</v>
      </c>
      <c r="AJ25" s="67">
        <f t="shared" si="1"/>
        <v>0</v>
      </c>
      <c r="AK25" s="67">
        <f t="shared" si="2"/>
        <v>0</v>
      </c>
      <c r="AL25" s="67">
        <f t="shared" si="3"/>
        <v>0</v>
      </c>
      <c r="AM25" s="67">
        <f t="shared" si="4"/>
        <v>0</v>
      </c>
      <c r="AN25" s="67">
        <f t="shared" si="5"/>
        <v>0</v>
      </c>
      <c r="AO25" s="94">
        <f t="shared" si="6"/>
        <v>1</v>
      </c>
      <c r="AP25" s="69">
        <f t="shared" si="9"/>
        <v>0</v>
      </c>
      <c r="AQ25" s="67">
        <f t="shared" si="9"/>
        <v>0</v>
      </c>
      <c r="AR25" s="67">
        <f t="shared" si="9"/>
        <v>0</v>
      </c>
      <c r="AS25" s="67">
        <f t="shared" si="9"/>
        <v>1</v>
      </c>
      <c r="AT25" s="67">
        <f t="shared" si="9"/>
        <v>0</v>
      </c>
      <c r="AU25" s="68">
        <f t="shared" si="9"/>
        <v>0</v>
      </c>
    </row>
    <row r="26" spans="1:47" x14ac:dyDescent="0.45">
      <c r="A26" s="96" t="s">
        <v>79</v>
      </c>
      <c r="B26" s="96">
        <v>17</v>
      </c>
      <c r="C26" s="97"/>
      <c r="D26" s="98"/>
      <c r="E26" s="62" t="s">
        <v>59</v>
      </c>
      <c r="F26" s="63"/>
      <c r="G26" s="63"/>
      <c r="H26" s="144" t="s">
        <v>106</v>
      </c>
      <c r="I26" s="63"/>
      <c r="J26" s="63"/>
      <c r="K26" s="64"/>
      <c r="L26" s="62" t="s">
        <v>59</v>
      </c>
      <c r="M26" s="63"/>
      <c r="N26" s="63"/>
      <c r="O26" s="63"/>
      <c r="P26" s="63"/>
      <c r="Q26" s="63"/>
      <c r="R26" s="64"/>
      <c r="S26" s="62" t="s">
        <v>59</v>
      </c>
      <c r="T26" s="63"/>
      <c r="U26" s="63"/>
      <c r="V26" s="144" t="s">
        <v>112</v>
      </c>
      <c r="W26" s="144" t="s">
        <v>106</v>
      </c>
      <c r="X26" s="144" t="s">
        <v>116</v>
      </c>
      <c r="Y26" s="145" t="s">
        <v>110</v>
      </c>
      <c r="Z26" s="62" t="s">
        <v>59</v>
      </c>
      <c r="AA26" s="144" t="s">
        <v>117</v>
      </c>
      <c r="AB26" s="63"/>
      <c r="AC26" s="63"/>
      <c r="AD26" s="63"/>
      <c r="AE26" s="63"/>
      <c r="AF26" s="145" t="s">
        <v>106</v>
      </c>
      <c r="AG26" s="65">
        <f t="shared" si="8"/>
        <v>9</v>
      </c>
      <c r="AH26" s="66">
        <f t="shared" si="0"/>
        <v>4</v>
      </c>
      <c r="AI26" s="67">
        <f t="shared" si="0"/>
        <v>3</v>
      </c>
      <c r="AJ26" s="67">
        <f t="shared" si="1"/>
        <v>0</v>
      </c>
      <c r="AK26" s="67">
        <f t="shared" si="2"/>
        <v>0</v>
      </c>
      <c r="AL26" s="67">
        <f t="shared" si="3"/>
        <v>0</v>
      </c>
      <c r="AM26" s="67">
        <f t="shared" si="4"/>
        <v>0</v>
      </c>
      <c r="AN26" s="67">
        <f t="shared" si="5"/>
        <v>1</v>
      </c>
      <c r="AO26" s="94">
        <f t="shared" si="6"/>
        <v>1</v>
      </c>
      <c r="AP26" s="69">
        <f t="shared" si="9"/>
        <v>0</v>
      </c>
      <c r="AQ26" s="67">
        <f t="shared" si="9"/>
        <v>0</v>
      </c>
      <c r="AR26" s="67">
        <f t="shared" si="9"/>
        <v>0</v>
      </c>
      <c r="AS26" s="67">
        <f t="shared" si="9"/>
        <v>0</v>
      </c>
      <c r="AT26" s="67">
        <f t="shared" si="9"/>
        <v>0</v>
      </c>
      <c r="AU26" s="68">
        <f t="shared" si="9"/>
        <v>0</v>
      </c>
    </row>
    <row r="27" spans="1:47" x14ac:dyDescent="0.45">
      <c r="A27" s="96" t="s">
        <v>80</v>
      </c>
      <c r="B27" s="96">
        <v>17</v>
      </c>
      <c r="C27" s="97"/>
      <c r="D27" s="98"/>
      <c r="E27" s="62"/>
      <c r="F27" s="63" t="s">
        <v>59</v>
      </c>
      <c r="G27" s="63"/>
      <c r="H27" s="63"/>
      <c r="I27" s="99"/>
      <c r="J27" s="63"/>
      <c r="K27" s="64"/>
      <c r="L27" s="62"/>
      <c r="M27" s="63" t="s">
        <v>59</v>
      </c>
      <c r="N27" s="63"/>
      <c r="O27" s="63"/>
      <c r="P27" s="99"/>
      <c r="Q27" s="63"/>
      <c r="R27" s="64"/>
      <c r="S27" s="62"/>
      <c r="T27" s="63" t="s">
        <v>59</v>
      </c>
      <c r="U27" s="63"/>
      <c r="V27" s="63"/>
      <c r="W27" s="99"/>
      <c r="X27" s="63"/>
      <c r="Y27" s="64"/>
      <c r="Z27" s="62"/>
      <c r="AA27" s="63" t="s">
        <v>59</v>
      </c>
      <c r="AB27" s="63"/>
      <c r="AC27" s="63"/>
      <c r="AD27" s="99"/>
      <c r="AE27" s="63"/>
      <c r="AF27" s="64"/>
      <c r="AG27" s="65">
        <f t="shared" si="8"/>
        <v>4</v>
      </c>
      <c r="AH27" s="66">
        <f t="shared" si="0"/>
        <v>4</v>
      </c>
      <c r="AI27" s="67">
        <f t="shared" si="0"/>
        <v>0</v>
      </c>
      <c r="AJ27" s="67">
        <f t="shared" si="1"/>
        <v>0</v>
      </c>
      <c r="AK27" s="67">
        <f t="shared" si="2"/>
        <v>0</v>
      </c>
      <c r="AL27" s="67">
        <f t="shared" si="3"/>
        <v>0</v>
      </c>
      <c r="AM27" s="67">
        <f t="shared" si="4"/>
        <v>0</v>
      </c>
      <c r="AN27" s="67">
        <f t="shared" si="5"/>
        <v>0</v>
      </c>
      <c r="AO27" s="94">
        <f t="shared" si="6"/>
        <v>0</v>
      </c>
      <c r="AP27" s="69">
        <f t="shared" si="9"/>
        <v>0</v>
      </c>
      <c r="AQ27" s="67">
        <f t="shared" si="9"/>
        <v>0</v>
      </c>
      <c r="AR27" s="67">
        <f t="shared" si="9"/>
        <v>0</v>
      </c>
      <c r="AS27" s="67">
        <f t="shared" si="9"/>
        <v>0</v>
      </c>
      <c r="AT27" s="67">
        <f t="shared" si="9"/>
        <v>0</v>
      </c>
      <c r="AU27" s="68">
        <f t="shared" si="9"/>
        <v>0</v>
      </c>
    </row>
    <row r="28" spans="1:47" x14ac:dyDescent="0.45">
      <c r="A28" s="101" t="s">
        <v>81</v>
      </c>
      <c r="B28" s="96">
        <v>15</v>
      </c>
      <c r="C28" s="97"/>
      <c r="D28" s="98"/>
      <c r="E28" s="62"/>
      <c r="F28" s="63"/>
      <c r="G28" s="63" t="s">
        <v>59</v>
      </c>
      <c r="H28" s="63"/>
      <c r="I28" s="63"/>
      <c r="J28" s="63"/>
      <c r="K28" s="64"/>
      <c r="L28" s="62"/>
      <c r="M28" s="63"/>
      <c r="N28" s="63" t="s">
        <v>59</v>
      </c>
      <c r="O28" s="63"/>
      <c r="P28" s="63"/>
      <c r="Q28" s="63"/>
      <c r="R28" s="64"/>
      <c r="S28" s="62"/>
      <c r="T28" s="63"/>
      <c r="U28" s="63" t="s">
        <v>59</v>
      </c>
      <c r="V28" s="63"/>
      <c r="W28" s="63"/>
      <c r="X28" s="63"/>
      <c r="Y28" s="64"/>
      <c r="Z28" s="62"/>
      <c r="AA28" s="63"/>
      <c r="AB28" s="63" t="s">
        <v>59</v>
      </c>
      <c r="AC28" s="63"/>
      <c r="AD28" s="63"/>
      <c r="AE28" s="63"/>
      <c r="AF28" s="64"/>
      <c r="AG28" s="65">
        <f t="shared" si="8"/>
        <v>4</v>
      </c>
      <c r="AH28" s="66">
        <f t="shared" si="0"/>
        <v>4</v>
      </c>
      <c r="AI28" s="67">
        <f t="shared" si="0"/>
        <v>0</v>
      </c>
      <c r="AJ28" s="67">
        <f t="shared" si="1"/>
        <v>0</v>
      </c>
      <c r="AK28" s="67">
        <f t="shared" si="2"/>
        <v>0</v>
      </c>
      <c r="AL28" s="67">
        <f t="shared" si="3"/>
        <v>0</v>
      </c>
      <c r="AM28" s="67">
        <f t="shared" si="4"/>
        <v>0</v>
      </c>
      <c r="AN28" s="67">
        <f t="shared" si="5"/>
        <v>0</v>
      </c>
      <c r="AO28" s="94">
        <f t="shared" si="6"/>
        <v>0</v>
      </c>
      <c r="AP28" s="69">
        <f t="shared" si="9"/>
        <v>0</v>
      </c>
      <c r="AQ28" s="67">
        <f t="shared" si="9"/>
        <v>0</v>
      </c>
      <c r="AR28" s="67">
        <f t="shared" si="9"/>
        <v>0</v>
      </c>
      <c r="AS28" s="67">
        <f t="shared" si="9"/>
        <v>0</v>
      </c>
      <c r="AT28" s="67">
        <f t="shared" si="9"/>
        <v>0</v>
      </c>
      <c r="AU28" s="68">
        <f t="shared" si="9"/>
        <v>0</v>
      </c>
    </row>
    <row r="29" spans="1:47" ht="17.5" thickBot="1" x14ac:dyDescent="0.5">
      <c r="A29" s="102" t="s">
        <v>82</v>
      </c>
      <c r="B29" s="96">
        <v>15</v>
      </c>
      <c r="C29" s="103"/>
      <c r="D29" s="104"/>
      <c r="E29" s="105"/>
      <c r="F29" s="106" t="s">
        <v>59</v>
      </c>
      <c r="G29" s="106"/>
      <c r="H29" s="106"/>
      <c r="I29" s="106"/>
      <c r="J29" s="106"/>
      <c r="K29" s="107"/>
      <c r="L29" s="105"/>
      <c r="M29" s="106" t="s">
        <v>59</v>
      </c>
      <c r="N29" s="106"/>
      <c r="O29" s="106"/>
      <c r="P29" s="106"/>
      <c r="Q29" s="106"/>
      <c r="R29" s="107"/>
      <c r="S29" s="105"/>
      <c r="T29" s="106" t="s">
        <v>59</v>
      </c>
      <c r="U29" s="153" t="s">
        <v>106</v>
      </c>
      <c r="V29" s="106"/>
      <c r="W29" s="106"/>
      <c r="X29" s="106"/>
      <c r="Y29" s="107"/>
      <c r="Z29" s="105"/>
      <c r="AA29" s="106" t="s">
        <v>59</v>
      </c>
      <c r="AB29" s="106"/>
      <c r="AC29" s="106"/>
      <c r="AD29" s="106"/>
      <c r="AE29" s="153" t="s">
        <v>105</v>
      </c>
      <c r="AF29" s="152" t="s">
        <v>106</v>
      </c>
      <c r="AG29" s="108">
        <f t="shared" si="8"/>
        <v>6</v>
      </c>
      <c r="AH29" s="109">
        <f t="shared" ref="AH29:AI43" si="10">COUNTIF($E29:$AF29,AH$5)</f>
        <v>4</v>
      </c>
      <c r="AI29" s="110">
        <f t="shared" si="10"/>
        <v>2</v>
      </c>
      <c r="AJ29" s="110">
        <f t="shared" si="1"/>
        <v>0</v>
      </c>
      <c r="AK29" s="110">
        <f t="shared" si="2"/>
        <v>0</v>
      </c>
      <c r="AL29" s="110">
        <f t="shared" si="3"/>
        <v>0</v>
      </c>
      <c r="AM29" s="110">
        <f t="shared" si="4"/>
        <v>0</v>
      </c>
      <c r="AN29" s="110">
        <f t="shared" si="5"/>
        <v>0</v>
      </c>
      <c r="AO29" s="111">
        <f t="shared" si="6"/>
        <v>0</v>
      </c>
      <c r="AP29" s="109">
        <f t="shared" si="9"/>
        <v>0</v>
      </c>
      <c r="AQ29" s="110">
        <f t="shared" si="9"/>
        <v>0</v>
      </c>
      <c r="AR29" s="110">
        <f t="shared" si="9"/>
        <v>0</v>
      </c>
      <c r="AS29" s="110">
        <f t="shared" si="9"/>
        <v>1</v>
      </c>
      <c r="AT29" s="110">
        <f t="shared" si="9"/>
        <v>0</v>
      </c>
      <c r="AU29" s="112">
        <f t="shared" si="9"/>
        <v>0</v>
      </c>
    </row>
    <row r="30" spans="1:47" x14ac:dyDescent="0.45">
      <c r="A30" s="96" t="s">
        <v>83</v>
      </c>
      <c r="B30" s="96">
        <v>15</v>
      </c>
      <c r="C30" s="113"/>
      <c r="D30" s="114"/>
      <c r="E30" s="115"/>
      <c r="F30" s="116"/>
      <c r="G30" s="117"/>
      <c r="H30" s="116"/>
      <c r="I30" s="116" t="s">
        <v>59</v>
      </c>
      <c r="J30" s="116"/>
      <c r="K30" s="118"/>
      <c r="L30" s="115"/>
      <c r="M30" s="116"/>
      <c r="N30" s="117"/>
      <c r="O30" s="116"/>
      <c r="P30" s="116" t="s">
        <v>59</v>
      </c>
      <c r="Q30" s="116"/>
      <c r="R30" s="118"/>
      <c r="S30" s="115"/>
      <c r="T30" s="116"/>
      <c r="U30" s="117"/>
      <c r="V30" s="151" t="s">
        <v>106</v>
      </c>
      <c r="W30" s="116" t="s">
        <v>59</v>
      </c>
      <c r="X30" s="151" t="s">
        <v>110</v>
      </c>
      <c r="Y30" s="118"/>
      <c r="Z30" s="115"/>
      <c r="AA30" s="116"/>
      <c r="AB30" s="117"/>
      <c r="AC30" s="116"/>
      <c r="AD30" s="116" t="s">
        <v>59</v>
      </c>
      <c r="AE30" s="116"/>
      <c r="AF30" s="118"/>
      <c r="AG30" s="119">
        <f t="shared" si="8"/>
        <v>6</v>
      </c>
      <c r="AH30" s="120">
        <f t="shared" si="10"/>
        <v>4</v>
      </c>
      <c r="AI30" s="121">
        <f t="shared" si="10"/>
        <v>1</v>
      </c>
      <c r="AJ30" s="121">
        <f t="shared" si="1"/>
        <v>0</v>
      </c>
      <c r="AK30" s="121">
        <f t="shared" si="2"/>
        <v>0</v>
      </c>
      <c r="AL30" s="121">
        <f t="shared" si="3"/>
        <v>0</v>
      </c>
      <c r="AM30" s="121">
        <f t="shared" si="4"/>
        <v>0</v>
      </c>
      <c r="AN30" s="121">
        <f t="shared" si="5"/>
        <v>0</v>
      </c>
      <c r="AO30" s="122">
        <f t="shared" si="6"/>
        <v>1</v>
      </c>
      <c r="AP30" s="123">
        <f t="shared" si="9"/>
        <v>0</v>
      </c>
      <c r="AQ30" s="121">
        <f t="shared" si="9"/>
        <v>0</v>
      </c>
      <c r="AR30" s="121">
        <f t="shared" si="9"/>
        <v>0</v>
      </c>
      <c r="AS30" s="121">
        <f t="shared" si="9"/>
        <v>0</v>
      </c>
      <c r="AT30" s="121">
        <f t="shared" si="9"/>
        <v>0</v>
      </c>
      <c r="AU30" s="124">
        <f t="shared" si="9"/>
        <v>0</v>
      </c>
    </row>
    <row r="31" spans="1:47" x14ac:dyDescent="0.45">
      <c r="A31" s="96" t="s">
        <v>84</v>
      </c>
      <c r="B31" s="96">
        <v>15</v>
      </c>
      <c r="C31" s="97"/>
      <c r="D31" s="125"/>
      <c r="E31" s="62"/>
      <c r="F31" s="63" t="s">
        <v>59</v>
      </c>
      <c r="G31" s="126"/>
      <c r="H31" s="63"/>
      <c r="I31" s="63"/>
      <c r="J31" s="63"/>
      <c r="K31" s="64"/>
      <c r="L31" s="62"/>
      <c r="M31" s="63" t="s">
        <v>59</v>
      </c>
      <c r="N31" s="126"/>
      <c r="O31" s="63"/>
      <c r="P31" s="63"/>
      <c r="Q31" s="63"/>
      <c r="R31" s="64"/>
      <c r="S31" s="62"/>
      <c r="T31" s="63" t="s">
        <v>59</v>
      </c>
      <c r="U31" s="126"/>
      <c r="V31" s="63"/>
      <c r="W31" s="63"/>
      <c r="X31" s="63"/>
      <c r="Y31" s="64"/>
      <c r="Z31" s="62"/>
      <c r="AA31" s="63" t="s">
        <v>59</v>
      </c>
      <c r="AB31" s="126"/>
      <c r="AC31" s="63"/>
      <c r="AD31" s="63"/>
      <c r="AE31" s="63"/>
      <c r="AF31" s="64"/>
      <c r="AG31" s="65">
        <f t="shared" si="8"/>
        <v>4</v>
      </c>
      <c r="AH31" s="66">
        <f t="shared" si="10"/>
        <v>4</v>
      </c>
      <c r="AI31" s="67">
        <f t="shared" si="10"/>
        <v>0</v>
      </c>
      <c r="AJ31" s="67">
        <f t="shared" si="1"/>
        <v>0</v>
      </c>
      <c r="AK31" s="67">
        <f t="shared" si="2"/>
        <v>0</v>
      </c>
      <c r="AL31" s="67">
        <f t="shared" si="3"/>
        <v>0</v>
      </c>
      <c r="AM31" s="67">
        <f t="shared" si="4"/>
        <v>0</v>
      </c>
      <c r="AN31" s="67">
        <f t="shared" si="5"/>
        <v>0</v>
      </c>
      <c r="AO31" s="94">
        <f t="shared" si="6"/>
        <v>0</v>
      </c>
      <c r="AP31" s="69">
        <f t="shared" si="9"/>
        <v>0</v>
      </c>
      <c r="AQ31" s="67">
        <f t="shared" si="9"/>
        <v>0</v>
      </c>
      <c r="AR31" s="67">
        <f t="shared" si="9"/>
        <v>0</v>
      </c>
      <c r="AS31" s="67">
        <f t="shared" si="9"/>
        <v>0</v>
      </c>
      <c r="AT31" s="67">
        <f t="shared" si="9"/>
        <v>0</v>
      </c>
      <c r="AU31" s="68">
        <f t="shared" si="9"/>
        <v>0</v>
      </c>
    </row>
    <row r="32" spans="1:47" x14ac:dyDescent="0.45">
      <c r="A32" s="96" t="s">
        <v>85</v>
      </c>
      <c r="B32" s="96">
        <v>15</v>
      </c>
      <c r="C32" s="97"/>
      <c r="D32" s="125"/>
      <c r="E32" s="62" t="s">
        <v>59</v>
      </c>
      <c r="F32" s="63"/>
      <c r="G32" s="126"/>
      <c r="H32" s="63"/>
      <c r="I32" s="63"/>
      <c r="J32" s="63"/>
      <c r="K32" s="64"/>
      <c r="L32" s="62" t="s">
        <v>59</v>
      </c>
      <c r="M32" s="145" t="s">
        <v>110</v>
      </c>
      <c r="N32" s="126"/>
      <c r="O32" s="63"/>
      <c r="P32" s="63"/>
      <c r="Q32" s="144" t="s">
        <v>55</v>
      </c>
      <c r="R32" s="64"/>
      <c r="S32" s="62" t="s">
        <v>59</v>
      </c>
      <c r="T32" s="63"/>
      <c r="U32" s="126"/>
      <c r="V32" s="63"/>
      <c r="W32" s="63"/>
      <c r="X32" s="63"/>
      <c r="Y32" s="64"/>
      <c r="Z32" s="62" t="s">
        <v>59</v>
      </c>
      <c r="AA32" s="63"/>
      <c r="AB32" s="126"/>
      <c r="AC32" s="63"/>
      <c r="AD32" s="63"/>
      <c r="AE32" s="63"/>
      <c r="AF32" s="144" t="s">
        <v>128</v>
      </c>
      <c r="AG32" s="65">
        <f t="shared" si="8"/>
        <v>6</v>
      </c>
      <c r="AH32" s="66">
        <f t="shared" si="10"/>
        <v>4</v>
      </c>
      <c r="AI32" s="67">
        <f t="shared" si="10"/>
        <v>0</v>
      </c>
      <c r="AJ32" s="67">
        <f t="shared" si="1"/>
        <v>0</v>
      </c>
      <c r="AK32" s="67">
        <f t="shared" si="2"/>
        <v>1</v>
      </c>
      <c r="AL32" s="67">
        <f t="shared" si="3"/>
        <v>0</v>
      </c>
      <c r="AM32" s="67">
        <f t="shared" si="4"/>
        <v>0</v>
      </c>
      <c r="AN32" s="67">
        <f t="shared" si="5"/>
        <v>0</v>
      </c>
      <c r="AO32" s="94">
        <f t="shared" si="6"/>
        <v>1</v>
      </c>
      <c r="AP32" s="69">
        <f t="shared" si="9"/>
        <v>0</v>
      </c>
      <c r="AQ32" s="67">
        <f t="shared" si="9"/>
        <v>0</v>
      </c>
      <c r="AR32" s="67">
        <f t="shared" si="9"/>
        <v>0</v>
      </c>
      <c r="AS32" s="67">
        <f t="shared" si="9"/>
        <v>1</v>
      </c>
      <c r="AT32" s="67">
        <f t="shared" si="9"/>
        <v>0</v>
      </c>
      <c r="AU32" s="68">
        <f t="shared" si="9"/>
        <v>0</v>
      </c>
    </row>
    <row r="33" spans="1:47" x14ac:dyDescent="0.45">
      <c r="A33" s="96" t="s">
        <v>86</v>
      </c>
      <c r="B33" s="96">
        <v>15</v>
      </c>
      <c r="C33" s="97"/>
      <c r="D33" s="125"/>
      <c r="E33" s="62"/>
      <c r="F33" s="63"/>
      <c r="G33" s="63" t="s">
        <v>59</v>
      </c>
      <c r="H33" s="63"/>
      <c r="I33" s="63"/>
      <c r="J33" s="63"/>
      <c r="K33" s="64"/>
      <c r="L33" s="62"/>
      <c r="M33" s="63"/>
      <c r="N33" s="63" t="s">
        <v>59</v>
      </c>
      <c r="O33" s="63"/>
      <c r="P33" s="63"/>
      <c r="Q33" s="63"/>
      <c r="R33" s="64"/>
      <c r="S33" s="62"/>
      <c r="T33" s="63"/>
      <c r="U33" s="63" t="s">
        <v>59</v>
      </c>
      <c r="V33" s="63"/>
      <c r="W33" s="63"/>
      <c r="X33" s="63"/>
      <c r="Y33" s="64"/>
      <c r="Z33" s="62"/>
      <c r="AA33" s="63"/>
      <c r="AB33" s="63" t="s">
        <v>59</v>
      </c>
      <c r="AC33" s="63"/>
      <c r="AD33" s="63"/>
      <c r="AE33" s="63"/>
      <c r="AF33" s="64"/>
      <c r="AG33" s="65">
        <f t="shared" si="8"/>
        <v>4</v>
      </c>
      <c r="AH33" s="66">
        <f t="shared" si="10"/>
        <v>4</v>
      </c>
      <c r="AI33" s="67">
        <f t="shared" si="10"/>
        <v>0</v>
      </c>
      <c r="AJ33" s="67">
        <f t="shared" si="1"/>
        <v>0</v>
      </c>
      <c r="AK33" s="67">
        <f t="shared" si="2"/>
        <v>0</v>
      </c>
      <c r="AL33" s="67">
        <f t="shared" si="3"/>
        <v>0</v>
      </c>
      <c r="AM33" s="67">
        <f t="shared" si="4"/>
        <v>0</v>
      </c>
      <c r="AN33" s="67">
        <f t="shared" si="5"/>
        <v>0</v>
      </c>
      <c r="AO33" s="94">
        <f t="shared" si="6"/>
        <v>0</v>
      </c>
      <c r="AP33" s="69">
        <f t="shared" si="9"/>
        <v>0</v>
      </c>
      <c r="AQ33" s="67">
        <f t="shared" si="9"/>
        <v>0</v>
      </c>
      <c r="AR33" s="67">
        <f t="shared" si="9"/>
        <v>0</v>
      </c>
      <c r="AS33" s="67">
        <f t="shared" si="9"/>
        <v>0</v>
      </c>
      <c r="AT33" s="67">
        <f t="shared" si="9"/>
        <v>0</v>
      </c>
      <c r="AU33" s="68">
        <f t="shared" si="9"/>
        <v>0</v>
      </c>
    </row>
    <row r="34" spans="1:47" x14ac:dyDescent="0.45">
      <c r="A34" s="96" t="s">
        <v>87</v>
      </c>
      <c r="B34" s="96">
        <v>15</v>
      </c>
      <c r="C34" s="97"/>
      <c r="D34" s="127"/>
      <c r="E34" s="62"/>
      <c r="F34" s="63"/>
      <c r="G34" s="63"/>
      <c r="H34" s="63"/>
      <c r="I34" s="63"/>
      <c r="J34" s="63"/>
      <c r="K34" s="64" t="s">
        <v>59</v>
      </c>
      <c r="L34" s="62"/>
      <c r="M34" s="63"/>
      <c r="N34" s="63"/>
      <c r="O34" s="63"/>
      <c r="P34" s="63"/>
      <c r="Q34" s="63"/>
      <c r="R34" s="64" t="s">
        <v>59</v>
      </c>
      <c r="S34" s="62"/>
      <c r="T34" s="63"/>
      <c r="U34" s="63"/>
      <c r="V34" s="63"/>
      <c r="W34" s="63"/>
      <c r="X34" s="63"/>
      <c r="Y34" s="64" t="s">
        <v>59</v>
      </c>
      <c r="Z34" s="62"/>
      <c r="AA34" s="63"/>
      <c r="AB34" s="63"/>
      <c r="AC34" s="63"/>
      <c r="AD34" s="63"/>
      <c r="AE34" s="63"/>
      <c r="AF34" s="64" t="s">
        <v>59</v>
      </c>
      <c r="AG34" s="65">
        <f t="shared" si="8"/>
        <v>4</v>
      </c>
      <c r="AH34" s="66">
        <f t="shared" si="10"/>
        <v>4</v>
      </c>
      <c r="AI34" s="67">
        <f t="shared" si="10"/>
        <v>0</v>
      </c>
      <c r="AJ34" s="67">
        <f t="shared" si="1"/>
        <v>0</v>
      </c>
      <c r="AK34" s="67">
        <f t="shared" si="2"/>
        <v>0</v>
      </c>
      <c r="AL34" s="67">
        <f t="shared" si="3"/>
        <v>0</v>
      </c>
      <c r="AM34" s="67">
        <f t="shared" si="4"/>
        <v>0</v>
      </c>
      <c r="AN34" s="67">
        <f t="shared" si="5"/>
        <v>0</v>
      </c>
      <c r="AO34" s="94">
        <f t="shared" si="6"/>
        <v>0</v>
      </c>
      <c r="AP34" s="69">
        <f t="shared" si="9"/>
        <v>0</v>
      </c>
      <c r="AQ34" s="67">
        <f t="shared" si="9"/>
        <v>0</v>
      </c>
      <c r="AR34" s="67">
        <f t="shared" si="9"/>
        <v>0</v>
      </c>
      <c r="AS34" s="67">
        <f t="shared" si="9"/>
        <v>0</v>
      </c>
      <c r="AT34" s="67">
        <f t="shared" si="9"/>
        <v>0</v>
      </c>
      <c r="AU34" s="68">
        <f t="shared" si="9"/>
        <v>0</v>
      </c>
    </row>
    <row r="35" spans="1:47" x14ac:dyDescent="0.45">
      <c r="A35" s="96" t="s">
        <v>88</v>
      </c>
      <c r="B35" s="96">
        <v>15</v>
      </c>
      <c r="C35" s="97"/>
      <c r="D35" s="125"/>
      <c r="E35" s="62" t="s">
        <v>59</v>
      </c>
      <c r="F35" s="63"/>
      <c r="G35" s="126"/>
      <c r="H35" s="63"/>
      <c r="I35" s="63"/>
      <c r="J35" s="63"/>
      <c r="K35" s="64"/>
      <c r="L35" s="62" t="s">
        <v>59</v>
      </c>
      <c r="M35" s="63"/>
      <c r="N35" s="126"/>
      <c r="O35" s="63"/>
      <c r="P35" s="63"/>
      <c r="Q35" s="63"/>
      <c r="R35" s="64"/>
      <c r="S35" s="62" t="s">
        <v>59</v>
      </c>
      <c r="T35" s="63"/>
      <c r="U35" s="126"/>
      <c r="V35" s="63"/>
      <c r="W35" s="63"/>
      <c r="X35" s="63"/>
      <c r="Y35" s="64"/>
      <c r="Z35" s="62" t="s">
        <v>59</v>
      </c>
      <c r="AA35" s="63"/>
      <c r="AB35" s="126"/>
      <c r="AC35" s="63"/>
      <c r="AD35" s="63"/>
      <c r="AE35" s="63"/>
      <c r="AF35" s="64"/>
      <c r="AG35" s="65">
        <f t="shared" si="8"/>
        <v>4</v>
      </c>
      <c r="AH35" s="66">
        <f t="shared" si="10"/>
        <v>4</v>
      </c>
      <c r="AI35" s="67">
        <f t="shared" si="10"/>
        <v>0</v>
      </c>
      <c r="AJ35" s="67">
        <f t="shared" si="1"/>
        <v>0</v>
      </c>
      <c r="AK35" s="67">
        <f t="shared" si="2"/>
        <v>0</v>
      </c>
      <c r="AL35" s="67">
        <f t="shared" si="3"/>
        <v>0</v>
      </c>
      <c r="AM35" s="67">
        <f t="shared" si="4"/>
        <v>0</v>
      </c>
      <c r="AN35" s="67">
        <f t="shared" si="5"/>
        <v>0</v>
      </c>
      <c r="AO35" s="94">
        <f t="shared" si="6"/>
        <v>0</v>
      </c>
      <c r="AP35" s="69">
        <f t="shared" si="9"/>
        <v>0</v>
      </c>
      <c r="AQ35" s="67">
        <f t="shared" si="9"/>
        <v>0</v>
      </c>
      <c r="AR35" s="67">
        <f t="shared" si="9"/>
        <v>0</v>
      </c>
      <c r="AS35" s="67">
        <f t="shared" si="9"/>
        <v>0</v>
      </c>
      <c r="AT35" s="67">
        <f t="shared" si="9"/>
        <v>0</v>
      </c>
      <c r="AU35" s="68">
        <f t="shared" si="9"/>
        <v>0</v>
      </c>
    </row>
    <row r="36" spans="1:47" x14ac:dyDescent="0.45">
      <c r="A36" s="96" t="s">
        <v>89</v>
      </c>
      <c r="B36" s="96">
        <v>15</v>
      </c>
      <c r="C36" s="97"/>
      <c r="D36" s="125" t="s">
        <v>129</v>
      </c>
      <c r="E36" s="62"/>
      <c r="F36" s="63" t="s">
        <v>59</v>
      </c>
      <c r="G36" s="128"/>
      <c r="H36" s="63"/>
      <c r="I36" s="63"/>
      <c r="J36" s="63"/>
      <c r="K36" s="64"/>
      <c r="L36" s="62"/>
      <c r="M36" s="63" t="s">
        <v>59</v>
      </c>
      <c r="N36" s="128"/>
      <c r="O36" s="63"/>
      <c r="P36" s="63"/>
      <c r="Q36" s="63"/>
      <c r="R36" s="64"/>
      <c r="S36" s="62"/>
      <c r="T36" s="63" t="s">
        <v>59</v>
      </c>
      <c r="U36" s="128"/>
      <c r="V36" s="63"/>
      <c r="W36" s="63"/>
      <c r="X36" s="63"/>
      <c r="Y36" s="64"/>
      <c r="Z36" s="62"/>
      <c r="AA36" s="63" t="s">
        <v>59</v>
      </c>
      <c r="AB36" s="128"/>
      <c r="AC36" s="63"/>
      <c r="AD36" s="63"/>
      <c r="AE36" s="63"/>
      <c r="AF36" s="64"/>
      <c r="AG36" s="65">
        <f t="shared" si="8"/>
        <v>4</v>
      </c>
      <c r="AH36" s="66">
        <f t="shared" si="10"/>
        <v>4</v>
      </c>
      <c r="AI36" s="67">
        <f t="shared" si="10"/>
        <v>0</v>
      </c>
      <c r="AJ36" s="67">
        <f t="shared" si="1"/>
        <v>0</v>
      </c>
      <c r="AK36" s="67">
        <f t="shared" si="2"/>
        <v>0</v>
      </c>
      <c r="AL36" s="67">
        <f t="shared" si="3"/>
        <v>0</v>
      </c>
      <c r="AM36" s="67">
        <f t="shared" si="4"/>
        <v>0</v>
      </c>
      <c r="AN36" s="67">
        <f t="shared" si="5"/>
        <v>0</v>
      </c>
      <c r="AO36" s="94">
        <f t="shared" si="6"/>
        <v>0</v>
      </c>
      <c r="AP36" s="69">
        <f t="shared" si="9"/>
        <v>0</v>
      </c>
      <c r="AQ36" s="67">
        <f t="shared" si="9"/>
        <v>0</v>
      </c>
      <c r="AR36" s="67">
        <f t="shared" si="9"/>
        <v>0</v>
      </c>
      <c r="AS36" s="67">
        <f t="shared" si="9"/>
        <v>0</v>
      </c>
      <c r="AT36" s="67">
        <f t="shared" si="9"/>
        <v>0</v>
      </c>
      <c r="AU36" s="68">
        <f t="shared" si="9"/>
        <v>0</v>
      </c>
    </row>
    <row r="37" spans="1:47" x14ac:dyDescent="0.45">
      <c r="A37" s="96" t="s">
        <v>90</v>
      </c>
      <c r="B37" s="96">
        <v>17</v>
      </c>
      <c r="C37" s="97"/>
      <c r="D37" s="127"/>
      <c r="E37" s="62"/>
      <c r="F37" s="63"/>
      <c r="G37" s="63"/>
      <c r="H37" s="63"/>
      <c r="I37" s="63"/>
      <c r="J37" s="63" t="s">
        <v>59</v>
      </c>
      <c r="K37" s="64"/>
      <c r="L37" s="62"/>
      <c r="M37" s="63"/>
      <c r="N37" s="63"/>
      <c r="O37" s="63"/>
      <c r="P37" s="63"/>
      <c r="Q37" s="63" t="s">
        <v>59</v>
      </c>
      <c r="R37" s="64"/>
      <c r="S37" s="62"/>
      <c r="T37" s="63"/>
      <c r="U37" s="63"/>
      <c r="V37" s="63"/>
      <c r="W37" s="63"/>
      <c r="X37" s="63" t="s">
        <v>59</v>
      </c>
      <c r="Y37" s="64"/>
      <c r="Z37" s="62"/>
      <c r="AA37" s="63"/>
      <c r="AB37" s="63"/>
      <c r="AC37" s="63"/>
      <c r="AD37" s="63"/>
      <c r="AE37" s="63" t="s">
        <v>59</v>
      </c>
      <c r="AF37" s="64"/>
      <c r="AG37" s="65">
        <f t="shared" si="8"/>
        <v>4</v>
      </c>
      <c r="AH37" s="66">
        <f t="shared" si="10"/>
        <v>4</v>
      </c>
      <c r="AI37" s="67">
        <f t="shared" si="10"/>
        <v>0</v>
      </c>
      <c r="AJ37" s="67">
        <f t="shared" si="1"/>
        <v>0</v>
      </c>
      <c r="AK37" s="67">
        <f t="shared" si="2"/>
        <v>0</v>
      </c>
      <c r="AL37" s="67">
        <f t="shared" si="3"/>
        <v>0</v>
      </c>
      <c r="AM37" s="67">
        <f t="shared" si="4"/>
        <v>0</v>
      </c>
      <c r="AN37" s="67">
        <f t="shared" si="5"/>
        <v>0</v>
      </c>
      <c r="AO37" s="94">
        <f t="shared" si="6"/>
        <v>0</v>
      </c>
      <c r="AP37" s="69">
        <f t="shared" si="9"/>
        <v>0</v>
      </c>
      <c r="AQ37" s="67">
        <f t="shared" si="9"/>
        <v>0</v>
      </c>
      <c r="AR37" s="67">
        <f t="shared" si="9"/>
        <v>0</v>
      </c>
      <c r="AS37" s="67">
        <f t="shared" si="9"/>
        <v>0</v>
      </c>
      <c r="AT37" s="67">
        <f t="shared" si="9"/>
        <v>0</v>
      </c>
      <c r="AU37" s="68">
        <f t="shared" si="9"/>
        <v>0</v>
      </c>
    </row>
    <row r="38" spans="1:47" x14ac:dyDescent="0.45">
      <c r="A38" s="96" t="s">
        <v>91</v>
      </c>
      <c r="B38" s="96">
        <v>17</v>
      </c>
      <c r="C38" s="97"/>
      <c r="D38" s="98"/>
      <c r="E38" s="62"/>
      <c r="F38" s="63"/>
      <c r="G38" s="128"/>
      <c r="H38" s="63"/>
      <c r="I38" s="63"/>
      <c r="J38" s="63"/>
      <c r="K38" s="64" t="s">
        <v>59</v>
      </c>
      <c r="L38" s="62"/>
      <c r="M38" s="63"/>
      <c r="N38" s="128"/>
      <c r="O38" s="63"/>
      <c r="P38" s="63"/>
      <c r="Q38" s="63"/>
      <c r="R38" s="64" t="s">
        <v>59</v>
      </c>
      <c r="S38" s="62"/>
      <c r="T38" s="63"/>
      <c r="U38" s="128"/>
      <c r="V38" s="63"/>
      <c r="W38" s="63"/>
      <c r="X38" s="63"/>
      <c r="Y38" s="64" t="s">
        <v>59</v>
      </c>
      <c r="Z38" s="62"/>
      <c r="AA38" s="63"/>
      <c r="AB38" s="128"/>
      <c r="AC38" s="63"/>
      <c r="AD38" s="63"/>
      <c r="AE38" s="63"/>
      <c r="AF38" s="64" t="s">
        <v>59</v>
      </c>
      <c r="AG38" s="65">
        <f t="shared" si="8"/>
        <v>4</v>
      </c>
      <c r="AH38" s="66">
        <f t="shared" si="10"/>
        <v>4</v>
      </c>
      <c r="AI38" s="67">
        <f t="shared" si="10"/>
        <v>0</v>
      </c>
      <c r="AJ38" s="67">
        <f t="shared" si="1"/>
        <v>0</v>
      </c>
      <c r="AK38" s="67">
        <f t="shared" si="2"/>
        <v>0</v>
      </c>
      <c r="AL38" s="67">
        <f t="shared" si="3"/>
        <v>0</v>
      </c>
      <c r="AM38" s="67">
        <f t="shared" si="4"/>
        <v>0</v>
      </c>
      <c r="AN38" s="67">
        <f t="shared" si="5"/>
        <v>0</v>
      </c>
      <c r="AO38" s="94">
        <f t="shared" si="6"/>
        <v>0</v>
      </c>
      <c r="AP38" s="69">
        <f t="shared" si="9"/>
        <v>0</v>
      </c>
      <c r="AQ38" s="67">
        <f t="shared" si="9"/>
        <v>0</v>
      </c>
      <c r="AR38" s="67">
        <f t="shared" si="9"/>
        <v>0</v>
      </c>
      <c r="AS38" s="67">
        <f t="shared" si="9"/>
        <v>0</v>
      </c>
      <c r="AT38" s="67">
        <f t="shared" si="9"/>
        <v>0</v>
      </c>
      <c r="AU38" s="68">
        <f t="shared" si="9"/>
        <v>0</v>
      </c>
    </row>
    <row r="39" spans="1:47" x14ac:dyDescent="0.45">
      <c r="A39" s="96" t="s">
        <v>92</v>
      </c>
      <c r="B39" s="96">
        <v>17</v>
      </c>
      <c r="C39" s="97"/>
      <c r="D39" s="98"/>
      <c r="E39" s="150" t="s">
        <v>127</v>
      </c>
      <c r="F39" s="144" t="s">
        <v>110</v>
      </c>
      <c r="G39" s="63" t="s">
        <v>59</v>
      </c>
      <c r="H39" s="63"/>
      <c r="I39" s="63"/>
      <c r="J39" s="63"/>
      <c r="K39" s="64"/>
      <c r="L39" s="62"/>
      <c r="M39" s="63"/>
      <c r="N39" s="63" t="s">
        <v>59</v>
      </c>
      <c r="O39" s="63"/>
      <c r="P39" s="63"/>
      <c r="Q39" s="63"/>
      <c r="R39" s="64"/>
      <c r="S39" s="62"/>
      <c r="T39" s="63"/>
      <c r="U39" s="63" t="s">
        <v>59</v>
      </c>
      <c r="V39" s="63"/>
      <c r="W39" s="63"/>
      <c r="X39" s="63"/>
      <c r="Y39" s="64"/>
      <c r="Z39" s="62"/>
      <c r="AA39" s="63"/>
      <c r="AB39" s="63" t="s">
        <v>59</v>
      </c>
      <c r="AC39" s="63"/>
      <c r="AD39" s="63"/>
      <c r="AE39" s="63"/>
      <c r="AF39" s="64"/>
      <c r="AG39" s="65">
        <f t="shared" si="8"/>
        <v>6</v>
      </c>
      <c r="AH39" s="66">
        <f t="shared" si="10"/>
        <v>4</v>
      </c>
      <c r="AI39" s="67">
        <f t="shared" si="10"/>
        <v>0</v>
      </c>
      <c r="AJ39" s="67">
        <f t="shared" si="1"/>
        <v>0</v>
      </c>
      <c r="AK39" s="67">
        <f t="shared" si="2"/>
        <v>1</v>
      </c>
      <c r="AL39" s="67">
        <f t="shared" si="3"/>
        <v>0</v>
      </c>
      <c r="AM39" s="67">
        <f t="shared" si="4"/>
        <v>0</v>
      </c>
      <c r="AN39" s="67">
        <f t="shared" si="5"/>
        <v>0</v>
      </c>
      <c r="AO39" s="94">
        <f t="shared" si="6"/>
        <v>1</v>
      </c>
      <c r="AP39" s="69">
        <f t="shared" si="9"/>
        <v>0</v>
      </c>
      <c r="AQ39" s="67">
        <f t="shared" si="9"/>
        <v>0</v>
      </c>
      <c r="AR39" s="67">
        <f t="shared" si="9"/>
        <v>0</v>
      </c>
      <c r="AS39" s="67">
        <f t="shared" si="9"/>
        <v>0</v>
      </c>
      <c r="AT39" s="67">
        <f t="shared" si="9"/>
        <v>0</v>
      </c>
      <c r="AU39" s="68">
        <f t="shared" si="9"/>
        <v>0</v>
      </c>
    </row>
    <row r="40" spans="1:47" x14ac:dyDescent="0.45">
      <c r="A40" s="129" t="s">
        <v>93</v>
      </c>
      <c r="B40" s="96">
        <v>17</v>
      </c>
      <c r="C40" s="130"/>
      <c r="D40" s="131"/>
      <c r="E40" s="62"/>
      <c r="F40" s="63"/>
      <c r="G40" s="128"/>
      <c r="H40" s="63" t="s">
        <v>59</v>
      </c>
      <c r="I40" s="63"/>
      <c r="J40" s="63"/>
      <c r="K40" s="145" t="s">
        <v>126</v>
      </c>
      <c r="L40" s="62"/>
      <c r="M40" s="63"/>
      <c r="N40" s="128"/>
      <c r="O40" s="63" t="s">
        <v>59</v>
      </c>
      <c r="P40" s="63"/>
      <c r="Q40" s="144" t="s">
        <v>55</v>
      </c>
      <c r="R40" s="64"/>
      <c r="S40" s="62"/>
      <c r="T40" s="63"/>
      <c r="U40" s="128"/>
      <c r="V40" s="63" t="s">
        <v>59</v>
      </c>
      <c r="W40" s="63"/>
      <c r="X40" s="63"/>
      <c r="Y40" s="64"/>
      <c r="Z40" s="62"/>
      <c r="AA40" s="63"/>
      <c r="AB40" s="128"/>
      <c r="AC40" s="63" t="s">
        <v>59</v>
      </c>
      <c r="AD40" s="63"/>
      <c r="AE40" s="63"/>
      <c r="AF40" s="64"/>
      <c r="AG40" s="65">
        <f t="shared" si="8"/>
        <v>5</v>
      </c>
      <c r="AH40" s="66">
        <f t="shared" si="10"/>
        <v>4</v>
      </c>
      <c r="AI40" s="67">
        <f t="shared" si="10"/>
        <v>0</v>
      </c>
      <c r="AJ40" s="67">
        <f t="shared" si="1"/>
        <v>0</v>
      </c>
      <c r="AK40" s="67">
        <f t="shared" si="2"/>
        <v>1</v>
      </c>
      <c r="AL40" s="67">
        <f t="shared" si="3"/>
        <v>0</v>
      </c>
      <c r="AM40" s="67">
        <f t="shared" si="4"/>
        <v>0</v>
      </c>
      <c r="AN40" s="67">
        <f t="shared" si="5"/>
        <v>0</v>
      </c>
      <c r="AO40" s="94">
        <f t="shared" si="6"/>
        <v>0</v>
      </c>
      <c r="AP40" s="69">
        <f t="shared" si="9"/>
        <v>0</v>
      </c>
      <c r="AQ40" s="67">
        <f t="shared" si="9"/>
        <v>0</v>
      </c>
      <c r="AR40" s="67">
        <f t="shared" si="9"/>
        <v>0</v>
      </c>
      <c r="AS40" s="67">
        <f t="shared" si="9"/>
        <v>1</v>
      </c>
      <c r="AT40" s="67">
        <f t="shared" si="9"/>
        <v>0</v>
      </c>
      <c r="AU40" s="68">
        <f t="shared" si="9"/>
        <v>0</v>
      </c>
    </row>
    <row r="41" spans="1:47" x14ac:dyDescent="0.45">
      <c r="A41" s="129" t="s">
        <v>94</v>
      </c>
      <c r="B41" s="96">
        <v>17</v>
      </c>
      <c r="C41" s="130"/>
      <c r="D41" s="131"/>
      <c r="E41" s="62"/>
      <c r="F41" s="63"/>
      <c r="G41" s="128"/>
      <c r="H41" s="63"/>
      <c r="I41" s="63" t="s">
        <v>59</v>
      </c>
      <c r="J41" s="63"/>
      <c r="K41" s="64"/>
      <c r="L41" s="62"/>
      <c r="M41" s="63"/>
      <c r="N41" s="128"/>
      <c r="O41" s="63"/>
      <c r="P41" s="63" t="s">
        <v>59</v>
      </c>
      <c r="Q41" s="63"/>
      <c r="R41" s="64"/>
      <c r="S41" s="62"/>
      <c r="T41" s="63"/>
      <c r="U41" s="128"/>
      <c r="V41" s="63"/>
      <c r="W41" s="63" t="s">
        <v>59</v>
      </c>
      <c r="X41" s="63"/>
      <c r="Y41" s="64"/>
      <c r="Z41" s="62"/>
      <c r="AA41" s="63"/>
      <c r="AB41" s="128"/>
      <c r="AC41" s="63"/>
      <c r="AD41" s="63" t="s">
        <v>59</v>
      </c>
      <c r="AE41" s="63"/>
      <c r="AF41" s="64"/>
      <c r="AG41" s="65">
        <f t="shared" si="8"/>
        <v>4</v>
      </c>
      <c r="AH41" s="66">
        <f t="shared" si="10"/>
        <v>4</v>
      </c>
      <c r="AI41" s="67">
        <f t="shared" si="10"/>
        <v>0</v>
      </c>
      <c r="AJ41" s="67">
        <f t="shared" si="1"/>
        <v>0</v>
      </c>
      <c r="AK41" s="67">
        <f t="shared" si="2"/>
        <v>0</v>
      </c>
      <c r="AL41" s="67">
        <f t="shared" si="3"/>
        <v>0</v>
      </c>
      <c r="AM41" s="67">
        <f t="shared" si="4"/>
        <v>0</v>
      </c>
      <c r="AN41" s="67">
        <f t="shared" si="5"/>
        <v>0</v>
      </c>
      <c r="AO41" s="94">
        <f t="shared" si="6"/>
        <v>0</v>
      </c>
      <c r="AP41" s="69">
        <f t="shared" ref="AP41:AU43" si="11">COUNTIF($E41:$AF41,AP$5)</f>
        <v>0</v>
      </c>
      <c r="AQ41" s="67">
        <f t="shared" si="11"/>
        <v>0</v>
      </c>
      <c r="AR41" s="67">
        <f t="shared" si="11"/>
        <v>0</v>
      </c>
      <c r="AS41" s="67">
        <f t="shared" si="11"/>
        <v>0</v>
      </c>
      <c r="AT41" s="67">
        <f t="shared" si="11"/>
        <v>0</v>
      </c>
      <c r="AU41" s="68">
        <f t="shared" si="11"/>
        <v>0</v>
      </c>
    </row>
    <row r="42" spans="1:47" x14ac:dyDescent="0.45">
      <c r="A42" s="129" t="s">
        <v>95</v>
      </c>
      <c r="B42" s="96">
        <v>17</v>
      </c>
      <c r="C42" s="130"/>
      <c r="D42" s="131"/>
      <c r="E42" s="62"/>
      <c r="F42" s="63"/>
      <c r="G42" s="63"/>
      <c r="H42" s="63" t="s">
        <v>59</v>
      </c>
      <c r="I42" s="63"/>
      <c r="J42" s="63"/>
      <c r="K42" s="64"/>
      <c r="L42" s="62"/>
      <c r="M42" s="63"/>
      <c r="N42" s="63"/>
      <c r="O42" s="63" t="s">
        <v>59</v>
      </c>
      <c r="P42" s="63"/>
      <c r="Q42" s="63"/>
      <c r="R42" s="64"/>
      <c r="S42" s="62"/>
      <c r="T42" s="63"/>
      <c r="U42" s="63"/>
      <c r="V42" s="63" t="s">
        <v>59</v>
      </c>
      <c r="W42" s="63"/>
      <c r="X42" s="63"/>
      <c r="Y42" s="64"/>
      <c r="Z42" s="62"/>
      <c r="AA42" s="63"/>
      <c r="AB42" s="63"/>
      <c r="AC42" s="63" t="s">
        <v>59</v>
      </c>
      <c r="AD42" s="63"/>
      <c r="AE42" s="63"/>
      <c r="AF42" s="64"/>
      <c r="AG42" s="65">
        <f t="shared" si="8"/>
        <v>4</v>
      </c>
      <c r="AH42" s="66">
        <f t="shared" si="10"/>
        <v>4</v>
      </c>
      <c r="AI42" s="67">
        <f t="shared" si="10"/>
        <v>0</v>
      </c>
      <c r="AJ42" s="67">
        <f t="shared" si="1"/>
        <v>0</v>
      </c>
      <c r="AK42" s="67">
        <f t="shared" si="2"/>
        <v>0</v>
      </c>
      <c r="AL42" s="67">
        <f t="shared" si="3"/>
        <v>0</v>
      </c>
      <c r="AM42" s="67">
        <f t="shared" si="4"/>
        <v>0</v>
      </c>
      <c r="AN42" s="67">
        <f t="shared" si="5"/>
        <v>0</v>
      </c>
      <c r="AO42" s="94">
        <f t="shared" si="6"/>
        <v>0</v>
      </c>
      <c r="AP42" s="69">
        <f t="shared" si="11"/>
        <v>0</v>
      </c>
      <c r="AQ42" s="67">
        <f t="shared" si="11"/>
        <v>0</v>
      </c>
      <c r="AR42" s="67">
        <f t="shared" si="11"/>
        <v>0</v>
      </c>
      <c r="AS42" s="67">
        <f t="shared" si="11"/>
        <v>0</v>
      </c>
      <c r="AT42" s="67">
        <f t="shared" si="11"/>
        <v>0</v>
      </c>
      <c r="AU42" s="68">
        <f t="shared" si="11"/>
        <v>0</v>
      </c>
    </row>
    <row r="43" spans="1:47" ht="17.5" thickBot="1" x14ac:dyDescent="0.5">
      <c r="A43" s="132" t="s">
        <v>96</v>
      </c>
      <c r="B43" s="96">
        <v>17</v>
      </c>
      <c r="C43" s="103"/>
      <c r="D43" s="133"/>
      <c r="E43" s="105"/>
      <c r="F43" s="106"/>
      <c r="G43" s="106"/>
      <c r="H43" s="106"/>
      <c r="I43" s="106"/>
      <c r="J43" s="106" t="s">
        <v>59</v>
      </c>
      <c r="K43" s="107"/>
      <c r="L43" s="105"/>
      <c r="M43" s="106"/>
      <c r="N43" s="106"/>
      <c r="O43" s="106"/>
      <c r="P43" s="106"/>
      <c r="Q43" s="106" t="s">
        <v>59</v>
      </c>
      <c r="R43" s="107"/>
      <c r="S43" s="105"/>
      <c r="T43" s="106"/>
      <c r="U43" s="106"/>
      <c r="V43" s="106"/>
      <c r="W43" s="106"/>
      <c r="X43" s="106" t="s">
        <v>59</v>
      </c>
      <c r="Y43" s="107"/>
      <c r="Z43" s="105"/>
      <c r="AA43" s="106"/>
      <c r="AB43" s="106"/>
      <c r="AC43" s="153" t="s">
        <v>112</v>
      </c>
      <c r="AD43" s="153" t="s">
        <v>110</v>
      </c>
      <c r="AE43" s="106" t="s">
        <v>59</v>
      </c>
      <c r="AF43" s="152" t="s">
        <v>127</v>
      </c>
      <c r="AG43" s="108">
        <f t="shared" si="8"/>
        <v>6</v>
      </c>
      <c r="AH43" s="134">
        <f t="shared" si="10"/>
        <v>4</v>
      </c>
      <c r="AI43" s="110">
        <f t="shared" si="10"/>
        <v>0</v>
      </c>
      <c r="AJ43" s="110">
        <f t="shared" si="1"/>
        <v>0</v>
      </c>
      <c r="AK43" s="110">
        <f t="shared" si="2"/>
        <v>1</v>
      </c>
      <c r="AL43" s="110">
        <f t="shared" si="3"/>
        <v>0</v>
      </c>
      <c r="AM43" s="110">
        <f t="shared" si="4"/>
        <v>0</v>
      </c>
      <c r="AN43" s="110">
        <f t="shared" si="5"/>
        <v>0</v>
      </c>
      <c r="AO43" s="111">
        <f t="shared" si="6"/>
        <v>1</v>
      </c>
      <c r="AP43" s="109">
        <f t="shared" si="11"/>
        <v>0</v>
      </c>
      <c r="AQ43" s="110">
        <f t="shared" si="11"/>
        <v>0</v>
      </c>
      <c r="AR43" s="110">
        <f t="shared" si="11"/>
        <v>0</v>
      </c>
      <c r="AS43" s="110">
        <f t="shared" si="11"/>
        <v>0</v>
      </c>
      <c r="AT43" s="110">
        <f t="shared" si="11"/>
        <v>0</v>
      </c>
      <c r="AU43" s="112">
        <f t="shared" si="11"/>
        <v>0</v>
      </c>
    </row>
    <row r="44" spans="1:47" x14ac:dyDescent="0.4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1:47" x14ac:dyDescent="0.4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47" x14ac:dyDescent="0.45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47" x14ac:dyDescent="0.45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  <row r="48" spans="1:47" x14ac:dyDescent="0.4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</row>
    <row r="49" spans="1:33" x14ac:dyDescent="0.45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</row>
    <row r="50" spans="1:33" x14ac:dyDescent="0.45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</row>
    <row r="51" spans="1:33" x14ac:dyDescent="0.4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</row>
    <row r="52" spans="1:33" x14ac:dyDescent="0.4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</row>
    <row r="53" spans="1:33" x14ac:dyDescent="0.4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</row>
    <row r="54" spans="1:33" x14ac:dyDescent="0.4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</row>
    <row r="55" spans="1:33" x14ac:dyDescent="0.4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</row>
  </sheetData>
  <autoFilter ref="A5:AU55" xr:uid="{00000000-0001-0000-0000-000000000000}"/>
  <mergeCells count="4">
    <mergeCell ref="A1:I1"/>
    <mergeCell ref="J1:AF1"/>
    <mergeCell ref="L2:W2"/>
    <mergeCell ref="AH2:AV3"/>
  </mergeCells>
  <phoneticPr fontId="3" type="noConversion"/>
  <conditionalFormatting sqref="E4:AF5">
    <cfRule type="containsText" dxfId="3" priority="2" operator="containsText" text="생휴">
      <formula>NOT(ISERROR(SEARCH("생휴",E4)))</formula>
    </cfRule>
  </conditionalFormatting>
  <conditionalFormatting sqref="H3">
    <cfRule type="containsText" dxfId="2" priority="9" operator="containsText" text="생휴">
      <formula>NOT(ISERROR(SEARCH("생휴",H3)))</formula>
    </cfRule>
  </conditionalFormatting>
  <conditionalFormatting sqref="AB3:AD3">
    <cfRule type="containsText" dxfId="1" priority="3" operator="containsText" text="생휴">
      <formula>NOT(ISERROR(SEARCH("생휴",AB3)))</formula>
    </cfRule>
  </conditionalFormatting>
  <conditionalFormatting sqref="AG6:AG43">
    <cfRule type="cellIs" dxfId="0" priority="1" operator="greaterThan">
      <formula>11</formula>
    </cfRule>
  </conditionalFormatting>
  <dataValidations count="20">
    <dataValidation type="list" allowBlank="1" showInputMessage="1" showErrorMessage="1" sqref="J7 Q7 X7 AE7 G6 Z10 H26 W26 AF26 V30 S22 R18 AF29 Z18 AB10 I10 P10 S9:S10 H19 Q24 U29 AE24:AE25 J25 R22:R23 AB6:AC6 S6 V6 X19 O25 AC22 F15 AF12 V20" xr:uid="{00000000-0002-0000-0000-000000000000}">
      <formula1>"OFF"</formula1>
    </dataValidation>
    <dataValidation type="list" allowBlank="1" showInputMessage="1" showErrorMessage="1" sqref="Y7 W8 N25 AC14 Y26 X30 K18 AD43 R10 M32 Z6 Y19 N13 U20 F39" xr:uid="{00000000-0002-0000-0000-000001000000}">
      <formula1>"생휴"</formula1>
    </dataValidation>
    <dataValidation type="list" allowBlank="1" showInputMessage="1" showErrorMessage="1" sqref="W7 AD7 I7" xr:uid="{00000000-0002-0000-0000-000002000000}">
      <formula1>"D,E"</formula1>
    </dataValidation>
    <dataValidation type="list" allowBlank="1" showInputMessage="1" showErrorMessage="1" sqref="P7 AD10 AD15 AD23" xr:uid="{00000000-0002-0000-0000-000003000000}">
      <formula1>"보수"</formula1>
    </dataValidation>
    <dataValidation type="list" allowBlank="1" showInputMessage="1" showErrorMessage="1" sqref="O7 Q32 AE6 P6 M25 X22 AE29 E6 AB15 U15 Q40" xr:uid="{00000000-0002-0000-0000-000004000000}">
      <formula1>"D"</formula1>
    </dataValidation>
    <dataValidation type="list" allowBlank="1" showInputMessage="1" showErrorMessage="1" sqref="V8 K8 F14 O6 L6:M6 X6 O8 L13 AF14" xr:uid="{00000000-0002-0000-0000-000005000000}">
      <formula1>"off"</formula1>
    </dataValidation>
    <dataValidation type="list" allowBlank="1" showInputMessage="1" showErrorMessage="1" sqref="AG18 F6 E14:E15 E12" xr:uid="{00000000-0002-0000-0000-000006000000}">
      <formula1>"법"</formula1>
    </dataValidation>
    <dataValidation type="list" allowBlank="1" showInputMessage="1" showErrorMessage="1" sqref="Q6 AD6" xr:uid="{00000000-0002-0000-0000-000007000000}">
      <formula1>"vac"</formula1>
    </dataValidation>
    <dataValidation type="list" allowBlank="1" showInputMessage="1" showErrorMessage="1" sqref="AE14" xr:uid="{00000000-0002-0000-0000-000008000000}">
      <formula1>"공가"</formula1>
    </dataValidation>
    <dataValidation type="list" allowBlank="1" showInputMessage="1" showErrorMessage="1" sqref="AF10 V26 AC43 G19" xr:uid="{00000000-0002-0000-0000-000009000000}">
      <formula1>"N제외"</formula1>
    </dataValidation>
    <dataValidation type="list" allowBlank="1" showInputMessage="1" showErrorMessage="1" sqref="I9 Y22 I18 G15 AC20 Q20" xr:uid="{00000000-0002-0000-0000-00000A000000}">
      <formula1>"N"</formula1>
    </dataValidation>
    <dataValidation type="list" allowBlank="1" showInputMessage="1" showErrorMessage="1" sqref="AE9 X26" xr:uid="{00000000-0002-0000-0000-00000B000000}">
      <formula1>"VAC"</formula1>
    </dataValidation>
    <dataValidation type="list" allowBlank="1" showInputMessage="1" showErrorMessage="1" sqref="AA26" xr:uid="{00000000-0002-0000-0000-00000C000000}">
      <formula1>"D제외"</formula1>
    </dataValidation>
    <dataValidation type="list" allowBlank="1" showInputMessage="1" showErrorMessage="1" sqref="J22 Q18" xr:uid="{00000000-0002-0000-0000-00000D000000}">
      <formula1>"E"</formula1>
    </dataValidation>
    <dataValidation type="list" allowBlank="1" showInputMessage="1" showErrorMessage="1" sqref="S18 AB20" xr:uid="{00000000-0002-0000-0000-00000E000000}">
      <formula1>"수면"</formula1>
    </dataValidation>
    <dataValidation type="list" allowBlank="1" showInputMessage="1" showErrorMessage="1" sqref="T18 AD18:AD19 I19 O19:P19 AC19 V19" xr:uid="{00000000-0002-0000-0000-00000F000000}">
      <formula1>"D 제외, E, N"</formula1>
    </dataValidation>
    <dataValidation type="list" allowBlank="1" showInputMessage="1" showErrorMessage="1" sqref="AF43 E39" xr:uid="{00000000-0002-0000-0000-000010000000}">
      <formula1>"수면(2월)"</formula1>
    </dataValidation>
    <dataValidation type="list" allowBlank="1" showInputMessage="1" showErrorMessage="1" sqref="K13" xr:uid="{00000000-0002-0000-0000-000011000000}">
      <formula1>" off"</formula1>
    </dataValidation>
    <dataValidation type="list" allowBlank="1" showInputMessage="1" showErrorMessage="1" sqref="K40" xr:uid="{00000000-0002-0000-0000-000012000000}">
      <formula1>"수면Off(2월)"</formula1>
    </dataValidation>
    <dataValidation type="list" allowBlank="1" showInputMessage="1" showErrorMessage="1" sqref="AF32" xr:uid="{00000000-0002-0000-0000-000013000000}">
      <formula1>"수면off(1-2월)"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강남)응급의학과 의국</dc:creator>
  <cp:lastModifiedBy>유정 최</cp:lastModifiedBy>
  <dcterms:created xsi:type="dcterms:W3CDTF">2026-01-30T00:53:57Z</dcterms:created>
  <dcterms:modified xsi:type="dcterms:W3CDTF">2026-02-10T13:17:23Z</dcterms:modified>
</cp:coreProperties>
</file>